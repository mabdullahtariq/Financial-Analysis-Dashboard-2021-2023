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483\Desktop\2021-2023\"/>
    </mc:Choice>
  </mc:AlternateContent>
  <xr:revisionPtr revIDLastSave="0" documentId="13_ncr:1_{96EE7744-097F-4595-91DB-D53781770DC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shboard" sheetId="1" r:id="rId1"/>
    <sheet name="Income Statement" sheetId="2" r:id="rId2"/>
    <sheet name="Cash Flow Analysis" sheetId="3" r:id="rId3"/>
    <sheet name="Equity and Dividends" sheetId="4" r:id="rId4"/>
    <sheet name="Debt and Liabilities" sheetId="5" r:id="rId5"/>
    <sheet name="Economic Indicators" sheetId="6" r:id="rId6"/>
    <sheet name="Sector Comparision" sheetId="7" r:id="rId7"/>
    <sheet name="FactFinancial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<sst xmlns="http://schemas.openxmlformats.org/spreadsheetml/2006/main" count="596" uniqueCount="247">
  <si>
    <t>Company</t>
  </si>
  <si>
    <t>Sector</t>
  </si>
  <si>
    <t>Net Profit
FY2023
(PKR Bn)</t>
  </si>
  <si>
    <t>EPS
(PKR)</t>
  </si>
  <si>
    <t>Dividend
(PKR/sh)</t>
  </si>
  <si>
    <t>ROE
FY2023</t>
  </si>
  <si>
    <t>OCF/NP
Ratio</t>
  </si>
  <si>
    <t>D/E
Ratio</t>
  </si>
  <si>
    <t>Decision</t>
  </si>
  <si>
    <t>Key Reason</t>
  </si>
  <si>
    <t>HBL</t>
  </si>
  <si>
    <t>Banking</t>
  </si>
  <si>
    <t>37.9%</t>
  </si>
  <si>
    <t>2.05x</t>
  </si>
  <si>
    <t>12.1x</t>
  </si>
  <si>
    <t>BUY</t>
  </si>
  <si>
    <t>MCB</t>
  </si>
  <si>
    <t>54.8%</t>
  </si>
  <si>
    <t>1.28x</t>
  </si>
  <si>
    <t>9.8x</t>
  </si>
  <si>
    <t>PSO</t>
  </si>
  <si>
    <t>Energy OMC</t>
  </si>
  <si>
    <t>21.2%</t>
  </si>
  <si>
    <t>N/A</t>
  </si>
  <si>
    <t>6.24x</t>
  </si>
  <si>
    <t>AVOID</t>
  </si>
  <si>
    <t>PPL</t>
  </si>
  <si>
    <t>Energy E&amp;P</t>
  </si>
  <si>
    <t>76.5%</t>
  </si>
  <si>
    <t>0.12x</t>
  </si>
  <si>
    <t>0.08x</t>
  </si>
  <si>
    <t>Nestlé</t>
  </si>
  <si>
    <t>FMCG</t>
  </si>
  <si>
    <t>97.9%</t>
  </si>
  <si>
    <t>0.43x</t>
  </si>
  <si>
    <t>0.82x</t>
  </si>
  <si>
    <t>HOLD</t>
  </si>
  <si>
    <t>Unilever</t>
  </si>
  <si>
    <t>228.5%</t>
  </si>
  <si>
    <t>0.60x</t>
  </si>
  <si>
    <t>3.41x</t>
  </si>
  <si>
    <t>Indicator</t>
  </si>
  <si>
    <t>FY2021</t>
  </si>
  <si>
    <t>FY2022</t>
  </si>
  <si>
    <t>FY2023</t>
  </si>
  <si>
    <t>Trend</t>
  </si>
  <si>
    <t>Sectoral Impact</t>
  </si>
  <si>
    <t>Inflation Rate (CPI %)</t>
  </si>
  <si>
    <t>8.9%</t>
  </si>
  <si>
    <t>12.2%</t>
  </si>
  <si>
    <t>28.2%</t>
  </si>
  <si>
    <t>↑ Sharply Rising</t>
  </si>
  <si>
    <t>Cost pressure FMCG; boosts banking via higher rates</t>
  </si>
  <si>
    <t>SBP Policy Rate (%)</t>
  </si>
  <si>
    <t>7.0%</t>
  </si>
  <si>
    <t>13.75%</t>
  </si>
  <si>
    <t>22.0%</t>
  </si>
  <si>
    <t>Record NIMs for banks; finance cost surge for PSO &amp; corporates</t>
  </si>
  <si>
    <t>USD/PKR Exchange Rate</t>
  </si>
  <si>
    <t>158</t>
  </si>
  <si>
    <t>218</t>
  </si>
  <si>
    <t>285</t>
  </si>
  <si>
    <t>↑ PKR Weakening</t>
  </si>
  <si>
    <t>FMCG input costs ↑; FX translation gains for banks</t>
  </si>
  <si>
    <t>Brent Crude Oil ($/bbl avg)</t>
  </si>
  <si>
    <t>$71</t>
  </si>
  <si>
    <t>$100</t>
  </si>
  <si>
    <t>$82</t>
  </si>
  <si>
    <t>↑ then ↓</t>
  </si>
  <si>
    <t>PSO rev ↑ but import bill ↑; PPL wellhead revenue ↑</t>
  </si>
  <si>
    <t>GDP Growth Rate (%)</t>
  </si>
  <si>
    <t>5.7%</t>
  </si>
  <si>
    <t>6.1%</t>
  </si>
  <si>
    <t>0.3%</t>
  </si>
  <si>
    <t>↓ Sharply Falling</t>
  </si>
  <si>
    <t>Near-zero growth → consumer spending ↓; credit demand slows</t>
  </si>
  <si>
    <t>Current Account Balance (% GDP)</t>
  </si>
  <si>
    <t>(0.8%)</t>
  </si>
  <si>
    <t>(4.7%)</t>
  </si>
  <si>
    <t>(1.0%)</t>
  </si>
  <si>
    <t>Volatile</t>
  </si>
  <si>
    <t>Wide 2022 deficit → PKR pressure; IMF programme in 2023</t>
  </si>
  <si>
    <t>Foreign Reserves ($Bn)</t>
  </si>
  <si>
    <t>$16.4</t>
  </si>
  <si>
    <t>$9.8</t>
  </si>
  <si>
    <t>$7.4</t>
  </si>
  <si>
    <t>↓ Depleting</t>
  </si>
  <si>
    <t>Low reserves → import constraints; FMCG raw material shortages</t>
  </si>
  <si>
    <t>Fiscal Deficit (% GDP)</t>
  </si>
  <si>
    <t>(6.1%)</t>
  </si>
  <si>
    <t>(7.9%)</t>
  </si>
  <si>
    <t>(7.7%)</t>
  </si>
  <si>
    <t>Persistent</t>
  </si>
  <si>
    <t>Govt borrowing crowds out private credit; inflation risk</t>
  </si>
  <si>
    <t>BANKING SECTOR</t>
  </si>
  <si>
    <t>Metric (PKR Bn)</t>
  </si>
  <si>
    <t>HBL
FY2021</t>
  </si>
  <si>
    <t>HBL
FY2022</t>
  </si>
  <si>
    <t>HBL
FY2023</t>
  </si>
  <si>
    <t>MCB
FY2021</t>
  </si>
  <si>
    <t>MCB
FY2022</t>
  </si>
  <si>
    <t>MCB
FY2023</t>
  </si>
  <si>
    <t>Total Income / Revenue</t>
  </si>
  <si>
    <t>Cost of Funds (Interest Paid)</t>
  </si>
  <si>
    <t>Net Interest Income (NII)</t>
  </si>
  <si>
    <t xml:space="preserve">  NII Margin %</t>
  </si>
  <si>
    <t>Non-Interest / Other Income</t>
  </si>
  <si>
    <t>Operating / Admin Expenses</t>
  </si>
  <si>
    <t>Profit Before Tax (PBT)</t>
  </si>
  <si>
    <t>Tax Expense</t>
  </si>
  <si>
    <t>Net Profit / PAT</t>
  </si>
  <si>
    <t xml:space="preserve">  Net Profit Margin %</t>
  </si>
  <si>
    <t>EPS (PKR)</t>
  </si>
  <si>
    <t>ENERGY SECTOR (Oil &amp; Gas)</t>
  </si>
  <si>
    <t>PSO
FY2021</t>
  </si>
  <si>
    <t>PSO
FY2022</t>
  </si>
  <si>
    <t>PSO
FY2023</t>
  </si>
  <si>
    <t>PPL
FY2021</t>
  </si>
  <si>
    <t>PPL
FY2022</t>
  </si>
  <si>
    <t>PPL
FY2023</t>
  </si>
  <si>
    <t>Net Revenue / Net Sales</t>
  </si>
  <si>
    <t>Cost of Revenue / COGS</t>
  </si>
  <si>
    <t>Gross Profit</t>
  </si>
  <si>
    <t xml:space="preserve">  Gross Margin %</t>
  </si>
  <si>
    <t>Other Income / Distribution</t>
  </si>
  <si>
    <t>Operating Expenses</t>
  </si>
  <si>
    <t>FMCG SECTOR</t>
  </si>
  <si>
    <t>Nestlé
FY2021</t>
  </si>
  <si>
    <t>Nestlé
FY2022</t>
  </si>
  <si>
    <t>Nestlé
FY2023</t>
  </si>
  <si>
    <t>Unilever
FY2021</t>
  </si>
  <si>
    <t>Unilever
FY2022</t>
  </si>
  <si>
    <t>Unilever
FY2023</t>
  </si>
  <si>
    <t>Cost of Goods Sold (COGS)</t>
  </si>
  <si>
    <t>Cash Flow (PKR Bn)</t>
  </si>
  <si>
    <t>Operating Cash Flow (OCF)</t>
  </si>
  <si>
    <t>Investing Cash Flow (ICF)</t>
  </si>
  <si>
    <t>Financing Cash Flow (FCF)</t>
  </si>
  <si>
    <t>Free Cash Flow (OCF+ICF)</t>
  </si>
  <si>
    <t>OCF / Net Profit Ratio</t>
  </si>
  <si>
    <t>Equity Metric</t>
  </si>
  <si>
    <t>Share Capital (PKR Bn)</t>
  </si>
  <si>
    <t>Retained Earnings (PKR Bn)</t>
  </si>
  <si>
    <t>Total Equity (PKR Bn)</t>
  </si>
  <si>
    <t>Dividend per Share (PKR)</t>
  </si>
  <si>
    <t>Return on Equity (ROE)</t>
  </si>
  <si>
    <t>Book Value per Share (PKR)</t>
  </si>
  <si>
    <t>Debt / Liability Metric</t>
  </si>
  <si>
    <t>Total Assets (PKR Bn)</t>
  </si>
  <si>
    <t>Customer Deposits (PKR Bn)</t>
  </si>
  <si>
    <t>Total Borrowings (PKR Bn)</t>
  </si>
  <si>
    <t>Finance Expense (PKR Bn)</t>
  </si>
  <si>
    <t>Debt-to-Equity Ratio</t>
  </si>
  <si>
    <t>Capital Adequacy Ratio (CAR)</t>
  </si>
  <si>
    <t>17.9%</t>
  </si>
  <si>
    <t>17.0%</t>
  </si>
  <si>
    <t>16.0%</t>
  </si>
  <si>
    <t>17.01%</t>
  </si>
  <si>
    <t>18.84%</t>
  </si>
  <si>
    <t>22.7%</t>
  </si>
  <si>
    <t>NPL / Infection Ratio</t>
  </si>
  <si>
    <t>5.1%</t>
  </si>
  <si>
    <t>4.8%</t>
  </si>
  <si>
    <t>6.4%</t>
  </si>
  <si>
    <t>7.94%</t>
  </si>
  <si>
    <t>6.43%</t>
  </si>
  <si>
    <t>2.8%</t>
  </si>
  <si>
    <t>Interest Coverage Ratio (x)</t>
  </si>
  <si>
    <t>Macroeconomic Indicator</t>
  </si>
  <si>
    <t>SECTOR IMPACT MATRIX</t>
  </si>
  <si>
    <t>Economic Factor</t>
  </si>
  <si>
    <t>Overall Winner</t>
  </si>
  <si>
    <t>Rising Policy Rate (7%→22%)</t>
  </si>
  <si>
    <t>Very Positive</t>
  </si>
  <si>
    <t>Neutral</t>
  </si>
  <si>
    <t>Negative</t>
  </si>
  <si>
    <t>High Inflation (peak 28%)</t>
  </si>
  <si>
    <t>Moderately Pos.</t>
  </si>
  <si>
    <t>Very Negative</t>
  </si>
  <si>
    <t>PKR Depreciation (~50%)</t>
  </si>
  <si>
    <t>Moderate Pos.</t>
  </si>
  <si>
    <t>High Global Oil Prices</t>
  </si>
  <si>
    <t>Mixed</t>
  </si>
  <si>
    <t>GDP Slowdown (5.7%→0.3%)</t>
  </si>
  <si>
    <t>Moderately Neg.</t>
  </si>
  <si>
    <t>Low Impact</t>
  </si>
  <si>
    <t>OVERALL NET IMPACT</t>
  </si>
  <si>
    <t>POSITIVE</t>
  </si>
  <si>
    <t>NEGATIVE</t>
  </si>
  <si>
    <t>VERY NEGATIVE</t>
  </si>
  <si>
    <t>Financial Metric</t>
  </si>
  <si>
    <t>Net Profit Margin % (FY2023)</t>
  </si>
  <si>
    <t>20.3%</t>
  </si>
  <si>
    <t>32.5%</t>
  </si>
  <si>
    <t>33.8%</t>
  </si>
  <si>
    <t>8.2%</t>
  </si>
  <si>
    <t>Return on Equity % (FY2023)</t>
  </si>
  <si>
    <t>EPS 3-Year CAGR %</t>
  </si>
  <si>
    <t>19.5%</t>
  </si>
  <si>
    <t>28.5%</t>
  </si>
  <si>
    <t>-25.8%</t>
  </si>
  <si>
    <t>92.9%</t>
  </si>
  <si>
    <t>36.7%</t>
  </si>
  <si>
    <t>34.6%</t>
  </si>
  <si>
    <t>PAT FY2023 (PKR Bn)</t>
  </si>
  <si>
    <t>Revenue FY2023 (PKR Bn)</t>
  </si>
  <si>
    <t>Key Investment Rationale (Based on Verified Data)</t>
  </si>
  <si>
    <t>PBT Rs 113.6 Bn (+47%); PAT Rs 57.8 Bn (+68%); EPS Rs 39.32; OCF/NP 2.05x; DPS Rs 15/sh; CAR 16% (above regulatory min)</t>
  </si>
  <si>
    <t>PAT Rs 65.27 Bn (+89%); EPS Rs 54.94; lowest NPL 2.8%; CAR 22.7%; total DPS Rs 30/sh; 3yr EPS CAGR 28.5%</t>
  </si>
  <si>
    <t>PAT collapsed 90% to Rs 9.82 Bn; finance cost surged 8.5× to Rs 40.33 Bn; ICR 0.47x (below 1.0 = unable to cover interest from operations); circular debt risk</t>
  </si>
  <si>
    <t>PAT Rs 97.22 Bn (+79%); revenue Rs 288 Bn; D/E 0.08x (virtually debt-free); net margin 33.8%; cash-generative legacy gas fields</t>
  </si>
  <si>
    <t>PAT Rs 16.5 Bn (+9.5%); revenue Rs 200.6 Bn (+23.4%); GPM improving to 35.4%; strong brand; input cost pressure easing</t>
  </si>
  <si>
    <t>Unilever (UPFL)</t>
  </si>
  <si>
    <t>INVESTMENT DECISION SUMMARY (FY2023)</t>
  </si>
  <si>
    <t>MACROECONOMIC SNAPSHOT -  PAKISTAN  (FY2021–FY2023)</t>
  </si>
  <si>
    <t>FINAL INVESTMENT DECISIONS (FY2023)</t>
  </si>
  <si>
    <t>PAT Rs 9.74 Bn (+16%); net margin 28.2% (improving); caution: UPFL is foods entity only - separate from UPL (personal care)</t>
  </si>
  <si>
    <t>Equity and Dividends 3-YEAR COMPARISON (PKR Billions)</t>
  </si>
  <si>
    <t>Debt and Liabilities 3-YEAR COMPARISON (PKR Billions)</t>
  </si>
  <si>
    <t>MACROECONOMIC INDICATORS  PAKISTAN (FY2021-FY2023)</t>
  </si>
  <si>
    <t xml:space="preserve">SECTOR COMPARISON KEY RATIOS FY2023 </t>
  </si>
  <si>
    <t>Cash Flow Analysis 3-YEAR COMPARISON (PKR Billions)</t>
  </si>
  <si>
    <t>Income Statements 3-YEAR COMPARISON (PKR Billions)</t>
  </si>
  <si>
    <t>Strong profit growth in 2023, good dividend payout, well capitalised bank</t>
  </si>
  <si>
    <t>Highest profit growth among peers, very low bad loans, best dividend in sector</t>
  </si>
  <si>
    <t xml:space="preserve"> Profits dropped sharply due to massive increase in borrowing costs, risky to invest</t>
  </si>
  <si>
    <t>Huge profit jump, almost no debt, strong margins make it attractive</t>
  </si>
  <si>
    <t>Steady profits and strong brand but margins under pressure from rising costs</t>
  </si>
  <si>
    <t xml:space="preserve"> Improving profitability but note this is the foods subsidiary only, not the full group</t>
  </si>
  <si>
    <t>PSX SECTOR-WISE INVESTMENT ANALYSIS  FY2021 - FY2023 Pakistan Stock Exchange</t>
  </si>
  <si>
    <t>Year</t>
  </si>
  <si>
    <t>Revenue</t>
  </si>
  <si>
    <t>PAT</t>
  </si>
  <si>
    <t>EPS</t>
  </si>
  <si>
    <t>ROE</t>
  </si>
  <si>
    <t>Net Margin</t>
  </si>
  <si>
    <t>OCF</t>
  </si>
  <si>
    <t>OCF/NP</t>
  </si>
  <si>
    <t>Debt/Equity</t>
  </si>
  <si>
    <t>Interest Coverage</t>
  </si>
  <si>
    <t>Dividend/Share</t>
  </si>
  <si>
    <t>Energy</t>
  </si>
  <si>
    <t>UPFL</t>
  </si>
  <si>
    <t>Gross Profit Type</t>
  </si>
  <si>
    <t>NII</t>
  </si>
  <si>
    <t>Fact Financials</t>
  </si>
  <si>
    <t>Sectors: Banking (HBL, MCB)  ·  Energy (PSO, PPL)  ·  FMCG (Nestlé, UPFL)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</si>
</sst>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s&quot;* #,##0.00_-;\-&quot;Rs&quot;* #,##0.00_-;_-&quot;Rs&quot;* &quot;-&quot;??_-;_-@_-"/>
    <numFmt numFmtId="164" formatCode="0.0%"/>
    <numFmt numFmtId="165" formatCode="0.00&quot;x&quot;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0"/>
      <color rgb="FFFFFFFF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FF"/>
      <name val="Calibri"/>
    </font>
    <font>
      <b/>
      <sz val="10"/>
      <color rgb="FF375623"/>
      <name val="Calibri"/>
    </font>
    <font>
      <sz val="9"/>
      <color rgb="FF000000"/>
      <name val="Calibri"/>
    </font>
    <font>
      <b/>
      <sz val="10"/>
      <color rgb="FF9C0006"/>
      <name val="Calibri"/>
    </font>
    <font>
      <b/>
      <sz val="10"/>
      <color rgb="FF7F6000"/>
      <name val="Calibri"/>
    </font>
    <font>
      <b/>
      <sz val="12"/>
      <color rgb="FFFFFFFF"/>
      <name val="Calibri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3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EB9C"/>
        <bgColor rgb="FFFFEB9C"/>
      </patternFill>
    </fill>
    <fill>
      <patternFill patternType="solid">
        <fgColor rgb="FFEBF3FB"/>
        <bgColor rgb="FFEBF3FB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4" applyNumberFormat="0" applyFill="0" applyAlignment="0" applyProtection="0"/>
  </cellStyleXfs>
  <cellXfs count="6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4" fontId="4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0" fillId="0" borderId="0" xfId="0"/>
    <xf numFmtId="0" fontId="16" fillId="0" borderId="0" xfId="0" applyFont="1"/>
    <xf numFmtId="166" fontId="0" fillId="0" borderId="0" xfId="2" applyNumberFormat="1" applyFont="1" applyAlignment="1">
      <alignment vertical="center" wrapText="1"/>
    </xf>
    <xf numFmtId="166" fontId="0" fillId="0" borderId="0" xfId="2" applyNumberFormat="1" applyFont="1"/>
    <xf numFmtId="2" fontId="0" fillId="0" borderId="0" xfId="1" applyNumberFormat="1" applyFont="1" applyAlignment="1">
      <alignment vertical="center" wrapText="1"/>
    </xf>
    <xf numFmtId="2" fontId="0" fillId="0" borderId="0" xfId="1" applyNumberFormat="1" applyFont="1"/>
    <xf numFmtId="0" fontId="0" fillId="0" borderId="0" xfId="0" applyFont="1" applyAlignment="1">
      <alignment vertical="center" wrapText="1"/>
    </xf>
    <xf numFmtId="0" fontId="0" fillId="0" borderId="0" xfId="0" applyFont="1"/>
    <xf numFmtId="0" fontId="16" fillId="0" borderId="0" xfId="0" applyFont="1" applyAlignment="1">
      <alignment vertical="center" wrapText="1"/>
    </xf>
    <xf numFmtId="4" fontId="0" fillId="0" borderId="0" xfId="0" applyNumberFormat="1" applyFont="1" applyAlignment="1">
      <alignment vertical="center" wrapText="1"/>
    </xf>
    <xf numFmtId="0" fontId="19" fillId="0" borderId="0" xfId="0" applyFont="1"/>
    <xf numFmtId="0" fontId="20" fillId="9" borderId="4" xfId="3" applyFont="1" applyFill="1" applyAlignment="1">
      <alignment horizontal="center" vertical="center"/>
    </xf>
    <xf numFmtId="0" fontId="20" fillId="9" borderId="4" xfId="3" applyFont="1" applyFill="1" applyAlignment="1">
      <alignment horizontal="center" vertical="center" wrapText="1"/>
    </xf>
    <xf numFmtId="166" fontId="20" fillId="9" borderId="4" xfId="3" applyNumberFormat="1" applyFont="1" applyFill="1" applyAlignment="1">
      <alignment horizontal="center" vertical="center" wrapText="1"/>
    </xf>
    <xf numFmtId="2" fontId="20" fillId="9" borderId="4" xfId="3" applyNumberFormat="1" applyFont="1" applyFill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4">
    <cellStyle name="Currency" xfId="1" builtinId="4"/>
    <cellStyle name="Heading 2" xfId="3" builtinId="17"/>
    <cellStyle name="Normal" xfId="0" builtinId="0"/>
    <cellStyle name="Percent" xfId="2" builtinId="5"/>
  </cellStyles>
  <dxfs count="2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3"/>
        <color auto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EA494A-DA60-444D-9D1B-CBBBCEF177FC}" name="Table4" displayName="Table4" ref="A3:P21" totalsRowShown="0" headerRowDxfId="17" dataDxfId="16" headerRowCellStyle="Heading 2" dataCellStyle="Currency">
  <autoFilter ref="A3:P21" xr:uid="{14EA494A-DA60-444D-9D1B-CBBBCEF177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E02AECD-BCDA-4959-B6A3-CB9E3C609195}" name="Company" dataDxfId="15"/>
    <tableColumn id="2" xr3:uid="{8B9997AA-88BE-4A9E-965B-DFED56DBE8C5}" name="Sector" dataDxfId="14"/>
    <tableColumn id="3" xr3:uid="{C87305CC-4E2C-497C-AE33-4292C15BAFA3}" name="Year" dataDxfId="13"/>
    <tableColumn id="4" xr3:uid="{98DB3FAA-8521-4A2A-AD52-9A62EA311613}" name="Revenue" dataDxfId="12"/>
    <tableColumn id="5" xr3:uid="{68934754-5BC9-4DB0-B03D-51B14D12ACB1}" name="Gross Profit" dataDxfId="11"/>
    <tableColumn id="6" xr3:uid="{37244DD5-C018-45E9-9F5A-1122B7A83E33}" name="Gross Profit Type" dataDxfId="10"/>
    <tableColumn id="7" xr3:uid="{D67B53EE-02AE-4EE6-80D2-72DCDD3FEA06}" name="PAT" dataDxfId="9"/>
    <tableColumn id="8" xr3:uid="{9C6678F4-2D71-463D-A532-94116A2DA5F0}" name="EPS" dataDxfId="8"/>
    <tableColumn id="9" xr3:uid="{07EBB628-C880-43F7-B310-76C439819666}" name="ROE" dataDxfId="7" dataCellStyle="Percent"/>
    <tableColumn id="10" xr3:uid="{202E8045-4CA9-4516-B1D5-DA189FE9CB75}" name="Net Margin" dataDxfId="6" dataCellStyle="Percent"/>
    <tableColumn id="11" xr3:uid="{005E7B47-A40F-4FBB-9033-E2040BD65076}" name="OCF" dataDxfId="5"/>
    <tableColumn id="12" xr3:uid="{2FE399C5-75E3-4300-8F54-1B97FF1E39DB}" name="OCF/NP" dataDxfId="4" dataCellStyle="Currency"/>
    <tableColumn id="13" xr3:uid="{C3615DFE-B76A-4905-B6EB-7BB87ED3A46B}" name="Debt/Equity" dataDxfId="3" dataCellStyle="Currency"/>
    <tableColumn id="14" xr3:uid="{00697463-A9D5-4D93-A852-3656EDCC5812}" name="Interest Coverage" dataDxfId="2" dataCellStyle="Currency"/>
    <tableColumn id="15" xr3:uid="{70C59E7C-31DD-4D8A-9FAA-CE24344DC385}" name="Dividend/Share" dataDxfId="1"/>
    <tableColumn id="16" xr3:uid="{726FC851-4A11-4675-90DE-A119F468EC31}" name="Deci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6"/>
  <sheetViews>
    <sheetView showGridLines="0" tabSelected="1" workbookViewId="0">
      <selection activeCell="B3" sqref="B3:K3"/>
    </sheetView>
  </sheetViews>
  <sheetFormatPr defaultRowHeight="15" x14ac:dyDescent="0.25"/>
  <cols>
    <col min="1" max="1" width="2" customWidth="1"/>
    <col min="2" max="2" width="18" customWidth="1"/>
    <col min="3" max="3" width="14" customWidth="1"/>
    <col min="4" max="4" width="16" customWidth="1"/>
    <col min="5" max="10" width="10" customWidth="1"/>
    <col min="11" max="11" width="12" customWidth="1"/>
    <col min="12" max="12" width="2" customWidth="1"/>
  </cols>
  <sheetData>
    <row r="2" spans="2:11" ht="27.95" customHeight="1" x14ac:dyDescent="0.25">
      <c r="B2" s="64" t="s">
        <v>229</v>
      </c>
      <c r="C2" s="58"/>
      <c r="D2" s="58"/>
      <c r="E2" s="58"/>
      <c r="F2" s="58"/>
      <c r="G2" s="58"/>
      <c r="H2" s="58"/>
      <c r="I2" s="58"/>
      <c r="J2" s="58"/>
      <c r="K2" s="58"/>
    </row>
    <row r="3" spans="2:11" ht="20.100000000000001" customHeight="1" x14ac:dyDescent="0.25">
      <c r="B3" s="65" t="s">
        <v>246</v>
      </c>
      <c r="C3" s="58"/>
      <c r="D3" s="58"/>
      <c r="E3" s="58"/>
      <c r="F3" s="58"/>
      <c r="G3" s="58"/>
      <c r="H3" s="58"/>
      <c r="I3" s="58"/>
      <c r="J3" s="58"/>
      <c r="K3" s="58"/>
    </row>
    <row r="4" spans="2:11" ht="26.1" customHeight="1" x14ac:dyDescent="0.25">
      <c r="B4" s="62" t="s">
        <v>213</v>
      </c>
      <c r="C4" s="58"/>
      <c r="D4" s="58"/>
      <c r="E4" s="58"/>
      <c r="F4" s="58"/>
      <c r="G4" s="58"/>
      <c r="H4" s="58"/>
      <c r="I4" s="58"/>
      <c r="J4" s="58"/>
      <c r="K4" s="58"/>
    </row>
    <row r="5" spans="2:11" ht="8.1" customHeight="1" x14ac:dyDescent="0.25"/>
    <row r="6" spans="2:11" ht="21.95" customHeight="1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</row>
    <row r="7" spans="2:11" ht="33.950000000000003" customHeight="1" x14ac:dyDescent="0.25">
      <c r="B7" s="2" t="s">
        <v>10</v>
      </c>
      <c r="C7" s="3" t="s">
        <v>11</v>
      </c>
      <c r="D7" s="4">
        <v>57.8</v>
      </c>
      <c r="E7" s="4">
        <v>39.32</v>
      </c>
      <c r="F7" s="4">
        <v>15</v>
      </c>
      <c r="G7" s="5" t="s">
        <v>12</v>
      </c>
      <c r="H7" s="5" t="s">
        <v>13</v>
      </c>
      <c r="I7" s="5" t="s">
        <v>14</v>
      </c>
      <c r="J7" s="6" t="s">
        <v>15</v>
      </c>
      <c r="K7" s="40" t="s">
        <v>223</v>
      </c>
    </row>
    <row r="8" spans="2:11" ht="20.100000000000001" customHeight="1" x14ac:dyDescent="0.25">
      <c r="B8" s="7" t="s">
        <v>16</v>
      </c>
      <c r="C8" s="8" t="s">
        <v>11</v>
      </c>
      <c r="D8" s="9">
        <v>65.27</v>
      </c>
      <c r="E8" s="9">
        <v>54.94</v>
      </c>
      <c r="F8" s="9">
        <v>30</v>
      </c>
      <c r="G8" s="10" t="s">
        <v>17</v>
      </c>
      <c r="H8" s="10" t="s">
        <v>18</v>
      </c>
      <c r="I8" s="10" t="s">
        <v>19</v>
      </c>
      <c r="J8" s="6" t="s">
        <v>15</v>
      </c>
      <c r="K8" s="41" t="s">
        <v>224</v>
      </c>
    </row>
    <row r="9" spans="2:11" ht="20.100000000000001" customHeight="1" x14ac:dyDescent="0.25">
      <c r="B9" s="2" t="s">
        <v>20</v>
      </c>
      <c r="C9" s="3" t="s">
        <v>21</v>
      </c>
      <c r="D9" s="4">
        <v>9.82</v>
      </c>
      <c r="E9" s="4">
        <v>19.850000000000001</v>
      </c>
      <c r="F9" s="4">
        <v>7.5</v>
      </c>
      <c r="G9" s="5" t="s">
        <v>22</v>
      </c>
      <c r="H9" s="5" t="s">
        <v>23</v>
      </c>
      <c r="I9" s="5" t="s">
        <v>24</v>
      </c>
      <c r="J9" s="11" t="s">
        <v>25</v>
      </c>
      <c r="K9" s="40" t="s">
        <v>225</v>
      </c>
    </row>
    <row r="10" spans="2:11" ht="20.100000000000001" customHeight="1" x14ac:dyDescent="0.25">
      <c r="B10" s="7" t="s">
        <v>26</v>
      </c>
      <c r="C10" s="8" t="s">
        <v>27</v>
      </c>
      <c r="D10" s="9">
        <v>97.22</v>
      </c>
      <c r="E10" s="9">
        <v>35.72</v>
      </c>
      <c r="F10" s="9">
        <v>1.5</v>
      </c>
      <c r="G10" s="10" t="s">
        <v>28</v>
      </c>
      <c r="H10" s="10" t="s">
        <v>29</v>
      </c>
      <c r="I10" s="10" t="s">
        <v>30</v>
      </c>
      <c r="J10" s="6" t="s">
        <v>15</v>
      </c>
      <c r="K10" s="41" t="s">
        <v>226</v>
      </c>
    </row>
    <row r="11" spans="2:11" ht="20.100000000000001" customHeight="1" x14ac:dyDescent="0.25">
      <c r="B11" s="2" t="s">
        <v>31</v>
      </c>
      <c r="C11" s="3" t="s">
        <v>32</v>
      </c>
      <c r="D11" s="4">
        <v>16.5</v>
      </c>
      <c r="E11" s="4">
        <v>363.68</v>
      </c>
      <c r="F11" s="4">
        <v>193</v>
      </c>
      <c r="G11" s="5" t="s">
        <v>33</v>
      </c>
      <c r="H11" s="5" t="s">
        <v>34</v>
      </c>
      <c r="I11" s="5" t="s">
        <v>35</v>
      </c>
      <c r="J11" s="12" t="s">
        <v>36</v>
      </c>
      <c r="K11" s="40" t="s">
        <v>227</v>
      </c>
    </row>
    <row r="12" spans="2:11" ht="20.100000000000001" customHeight="1" x14ac:dyDescent="0.25">
      <c r="B12" s="7" t="s">
        <v>37</v>
      </c>
      <c r="C12" s="8" t="s">
        <v>32</v>
      </c>
      <c r="D12" s="9">
        <v>9.74</v>
      </c>
      <c r="E12" s="9">
        <v>1529.68</v>
      </c>
      <c r="F12" s="9">
        <v>429</v>
      </c>
      <c r="G12" s="10" t="s">
        <v>38</v>
      </c>
      <c r="H12" s="10" t="s">
        <v>39</v>
      </c>
      <c r="I12" s="10" t="s">
        <v>40</v>
      </c>
      <c r="J12" s="12" t="s">
        <v>36</v>
      </c>
      <c r="K12" s="41" t="s">
        <v>228</v>
      </c>
    </row>
    <row r="13" spans="2:11" ht="20.100000000000001" customHeight="1" x14ac:dyDescent="0.25"/>
    <row r="14" spans="2:11" ht="8.1" customHeight="1" x14ac:dyDescent="0.25">
      <c r="B14" s="62" t="s">
        <v>214</v>
      </c>
      <c r="C14" s="58"/>
      <c r="D14" s="58"/>
      <c r="E14" s="58"/>
      <c r="F14" s="58"/>
      <c r="G14" s="58"/>
      <c r="H14" s="58"/>
      <c r="I14" s="58"/>
      <c r="J14" s="58"/>
      <c r="K14" s="58"/>
    </row>
    <row r="15" spans="2:11" ht="21.95" customHeight="1" x14ac:dyDescent="0.25"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59" t="s">
        <v>46</v>
      </c>
      <c r="H15" s="60"/>
      <c r="I15" s="60"/>
      <c r="J15" s="60"/>
      <c r="K15" s="61"/>
    </row>
    <row r="16" spans="2:11" ht="33.950000000000003" customHeight="1" x14ac:dyDescent="0.25">
      <c r="B16" s="13" t="s">
        <v>47</v>
      </c>
      <c r="C16" s="5" t="s">
        <v>48</v>
      </c>
      <c r="D16" s="5" t="s">
        <v>49</v>
      </c>
      <c r="E16" s="5" t="s">
        <v>50</v>
      </c>
      <c r="F16" s="5" t="s">
        <v>51</v>
      </c>
      <c r="G16" s="63" t="s">
        <v>52</v>
      </c>
      <c r="H16" s="58"/>
      <c r="I16" s="58"/>
      <c r="J16" s="58"/>
      <c r="K16" s="58"/>
    </row>
    <row r="17" spans="2:11" ht="20.100000000000001" customHeight="1" x14ac:dyDescent="0.25">
      <c r="B17" s="14" t="s">
        <v>53</v>
      </c>
      <c r="C17" s="10" t="s">
        <v>54</v>
      </c>
      <c r="D17" s="10" t="s">
        <v>55</v>
      </c>
      <c r="E17" s="10" t="s">
        <v>56</v>
      </c>
      <c r="F17" s="10" t="s">
        <v>51</v>
      </c>
      <c r="G17" s="57" t="s">
        <v>57</v>
      </c>
      <c r="H17" s="58"/>
      <c r="I17" s="58"/>
      <c r="J17" s="58"/>
      <c r="K17" s="58"/>
    </row>
    <row r="18" spans="2:11" ht="20.100000000000001" customHeight="1" x14ac:dyDescent="0.25">
      <c r="B18" s="13" t="s">
        <v>58</v>
      </c>
      <c r="C18" s="5" t="s">
        <v>59</v>
      </c>
      <c r="D18" s="5" t="s">
        <v>60</v>
      </c>
      <c r="E18" s="5" t="s">
        <v>61</v>
      </c>
      <c r="F18" s="5" t="s">
        <v>62</v>
      </c>
      <c r="G18" s="63" t="s">
        <v>63</v>
      </c>
      <c r="H18" s="58"/>
      <c r="I18" s="58"/>
      <c r="J18" s="58"/>
      <c r="K18" s="58"/>
    </row>
    <row r="19" spans="2:11" ht="20.100000000000001" customHeight="1" x14ac:dyDescent="0.25">
      <c r="B19" s="14" t="s">
        <v>64</v>
      </c>
      <c r="C19" s="10" t="s">
        <v>65</v>
      </c>
      <c r="D19" s="10" t="s">
        <v>66</v>
      </c>
      <c r="E19" s="10" t="s">
        <v>67</v>
      </c>
      <c r="F19" s="10" t="s">
        <v>68</v>
      </c>
      <c r="G19" s="57" t="s">
        <v>69</v>
      </c>
      <c r="H19" s="58"/>
      <c r="I19" s="58"/>
      <c r="J19" s="58"/>
      <c r="K19" s="58"/>
    </row>
    <row r="20" spans="2:11" ht="20.100000000000001" customHeight="1" x14ac:dyDescent="0.25">
      <c r="B20" s="13" t="s">
        <v>70</v>
      </c>
      <c r="C20" s="5" t="s">
        <v>71</v>
      </c>
      <c r="D20" s="5" t="s">
        <v>72</v>
      </c>
      <c r="E20" s="5" t="s">
        <v>73</v>
      </c>
      <c r="F20" s="5" t="s">
        <v>74</v>
      </c>
      <c r="G20" s="63" t="s">
        <v>75</v>
      </c>
      <c r="H20" s="58"/>
      <c r="I20" s="58"/>
      <c r="J20" s="58"/>
      <c r="K20" s="58"/>
    </row>
    <row r="21" spans="2:11" ht="20.100000000000001" customHeight="1" x14ac:dyDescent="0.25">
      <c r="B21" s="14" t="s">
        <v>76</v>
      </c>
      <c r="C21" s="10" t="s">
        <v>77</v>
      </c>
      <c r="D21" s="10" t="s">
        <v>78</v>
      </c>
      <c r="E21" s="10" t="s">
        <v>79</v>
      </c>
      <c r="F21" s="10" t="s">
        <v>80</v>
      </c>
      <c r="G21" s="57" t="s">
        <v>81</v>
      </c>
      <c r="H21" s="58"/>
      <c r="I21" s="58"/>
      <c r="J21" s="58"/>
      <c r="K21" s="58"/>
    </row>
    <row r="22" spans="2:11" ht="20.100000000000001" customHeight="1" x14ac:dyDescent="0.25">
      <c r="B22" s="13" t="s">
        <v>82</v>
      </c>
      <c r="C22" s="5" t="s">
        <v>83</v>
      </c>
      <c r="D22" s="5" t="s">
        <v>84</v>
      </c>
      <c r="E22" s="5" t="s">
        <v>85</v>
      </c>
      <c r="F22" s="5" t="s">
        <v>86</v>
      </c>
      <c r="G22" s="63" t="s">
        <v>87</v>
      </c>
      <c r="H22" s="58"/>
      <c r="I22" s="58"/>
      <c r="J22" s="58"/>
      <c r="K22" s="58"/>
    </row>
    <row r="23" spans="2:11" ht="20.100000000000001" customHeight="1" x14ac:dyDescent="0.25">
      <c r="B23" s="14" t="s">
        <v>88</v>
      </c>
      <c r="C23" s="10" t="s">
        <v>89</v>
      </c>
      <c r="D23" s="10" t="s">
        <v>90</v>
      </c>
      <c r="E23" s="10" t="s">
        <v>91</v>
      </c>
      <c r="F23" s="10" t="s">
        <v>92</v>
      </c>
      <c r="G23" s="57" t="s">
        <v>93</v>
      </c>
      <c r="H23" s="58"/>
      <c r="I23" s="58"/>
      <c r="J23" s="58"/>
      <c r="K23" s="58"/>
    </row>
    <row r="24" spans="2:11" ht="20.100000000000001" customHeight="1" x14ac:dyDescent="0.25"/>
    <row r="26" spans="2:11" ht="26.1" customHeight="1" x14ac:dyDescent="0.25"/>
  </sheetData>
  <mergeCells count="13">
    <mergeCell ref="G23:K23"/>
    <mergeCell ref="G15:K15"/>
    <mergeCell ref="B14:K14"/>
    <mergeCell ref="G18:K18"/>
    <mergeCell ref="B2:K2"/>
    <mergeCell ref="G22:K22"/>
    <mergeCell ref="G21:K21"/>
    <mergeCell ref="B3:K3"/>
    <mergeCell ref="G17:K17"/>
    <mergeCell ref="G16:K16"/>
    <mergeCell ref="G20:K20"/>
    <mergeCell ref="G19:K19"/>
    <mergeCell ref="B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7"/>
  <sheetViews>
    <sheetView showGridLines="0" workbookViewId="0">
      <selection activeCell="B2" sqref="B2:H2"/>
    </sheetView>
  </sheetViews>
  <sheetFormatPr defaultRowHeight="15" x14ac:dyDescent="0.25"/>
  <cols>
    <col min="1" max="1" width="2" customWidth="1"/>
    <col min="2" max="2" width="34" customWidth="1"/>
    <col min="3" max="8" width="12" customWidth="1"/>
    <col min="9" max="9" width="2" customWidth="1"/>
  </cols>
  <sheetData>
    <row r="2" spans="2:8" ht="26.1" customHeight="1" x14ac:dyDescent="0.25">
      <c r="B2" s="66" t="s">
        <v>222</v>
      </c>
      <c r="C2" s="58"/>
      <c r="D2" s="58"/>
      <c r="E2" s="58"/>
      <c r="F2" s="58"/>
      <c r="G2" s="58"/>
      <c r="H2" s="58"/>
    </row>
    <row r="3" spans="2:8" ht="27.95" customHeight="1" x14ac:dyDescent="0.25"/>
    <row r="4" spans="2:8" x14ac:dyDescent="0.25">
      <c r="B4" s="62" t="s">
        <v>94</v>
      </c>
      <c r="C4" s="58"/>
      <c r="D4" s="58"/>
      <c r="E4" s="58"/>
      <c r="F4" s="58"/>
      <c r="G4" s="58"/>
      <c r="H4" s="58"/>
    </row>
    <row r="5" spans="2:8" ht="21.95" customHeight="1" x14ac:dyDescent="0.25">
      <c r="B5" s="1" t="s">
        <v>95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</row>
    <row r="6" spans="2:8" ht="33.950000000000003" customHeight="1" x14ac:dyDescent="0.25">
      <c r="B6" s="13" t="s">
        <v>102</v>
      </c>
      <c r="C6" s="4">
        <v>109.9</v>
      </c>
      <c r="D6" s="4">
        <v>212</v>
      </c>
      <c r="E6" s="4">
        <v>284.3</v>
      </c>
      <c r="F6" s="4">
        <v>84</v>
      </c>
      <c r="G6" s="4">
        <v>112.7</v>
      </c>
      <c r="H6" s="4">
        <v>200.82</v>
      </c>
    </row>
    <row r="7" spans="2:8" ht="15.95" customHeight="1" x14ac:dyDescent="0.25">
      <c r="B7" s="14" t="s">
        <v>103</v>
      </c>
      <c r="C7" s="9">
        <v>47.2</v>
      </c>
      <c r="D7" s="9">
        <v>92.4</v>
      </c>
      <c r="E7" s="9">
        <v>145.6</v>
      </c>
      <c r="F7" s="9">
        <v>27.2</v>
      </c>
      <c r="G7" s="9">
        <v>47.1</v>
      </c>
      <c r="H7" s="9">
        <v>116.3</v>
      </c>
    </row>
    <row r="8" spans="2:8" ht="15.95" customHeight="1" x14ac:dyDescent="0.25">
      <c r="B8" s="2" t="s">
        <v>104</v>
      </c>
      <c r="C8" s="15">
        <v>62.7</v>
      </c>
      <c r="D8" s="15">
        <v>119.6</v>
      </c>
      <c r="E8" s="15">
        <v>138.69999999999999</v>
      </c>
      <c r="F8" s="15">
        <v>56.8</v>
      </c>
      <c r="G8" s="15">
        <v>65.599999999999994</v>
      </c>
      <c r="H8" s="15">
        <v>84.52</v>
      </c>
    </row>
    <row r="9" spans="2:8" ht="15.95" customHeight="1" x14ac:dyDescent="0.25">
      <c r="B9" s="14" t="s">
        <v>105</v>
      </c>
      <c r="C9" s="16">
        <v>0.57099999999999995</v>
      </c>
      <c r="D9" s="16">
        <v>0.56399999999999995</v>
      </c>
      <c r="E9" s="16">
        <v>0.48799999999999999</v>
      </c>
      <c r="F9" s="16">
        <v>0.67600000000000005</v>
      </c>
      <c r="G9" s="16">
        <v>0.58199999999999996</v>
      </c>
      <c r="H9" s="16">
        <v>0.42099999999999999</v>
      </c>
    </row>
    <row r="10" spans="2:8" ht="15.95" customHeight="1" x14ac:dyDescent="0.25">
      <c r="B10" s="13" t="s">
        <v>106</v>
      </c>
      <c r="C10" s="4">
        <v>28.6</v>
      </c>
      <c r="D10" s="4">
        <v>46.7</v>
      </c>
      <c r="E10" s="4">
        <v>42.3</v>
      </c>
      <c r="F10" s="4">
        <v>18.399999999999999</v>
      </c>
      <c r="G10" s="4">
        <v>22.6</v>
      </c>
      <c r="H10" s="4">
        <v>35.4</v>
      </c>
    </row>
    <row r="11" spans="2:8" ht="15.95" customHeight="1" x14ac:dyDescent="0.25">
      <c r="B11" s="14" t="s">
        <v>107</v>
      </c>
      <c r="C11" s="9">
        <v>78.900000000000006</v>
      </c>
      <c r="D11" s="9">
        <v>124.8</v>
      </c>
      <c r="E11" s="9">
        <v>182.1</v>
      </c>
      <c r="F11" s="9">
        <v>42.7</v>
      </c>
      <c r="G11" s="9">
        <v>55.1</v>
      </c>
      <c r="H11" s="9">
        <v>63.57</v>
      </c>
    </row>
    <row r="12" spans="2:8" ht="15.95" customHeight="1" x14ac:dyDescent="0.25">
      <c r="B12" s="2" t="s">
        <v>108</v>
      </c>
      <c r="C12" s="15">
        <v>62</v>
      </c>
      <c r="D12" s="15">
        <v>77</v>
      </c>
      <c r="E12" s="15">
        <v>113.6</v>
      </c>
      <c r="F12" s="15">
        <v>51.99</v>
      </c>
      <c r="G12" s="15">
        <v>71.400000000000006</v>
      </c>
      <c r="H12" s="15">
        <v>137.52000000000001</v>
      </c>
    </row>
    <row r="13" spans="2:8" ht="15.95" customHeight="1" x14ac:dyDescent="0.25">
      <c r="B13" s="14" t="s">
        <v>109</v>
      </c>
      <c r="C13" s="9">
        <v>26.5</v>
      </c>
      <c r="D13" s="9">
        <v>42.6</v>
      </c>
      <c r="E13" s="9">
        <v>55.8</v>
      </c>
      <c r="F13" s="9">
        <v>21.18</v>
      </c>
      <c r="G13" s="9">
        <v>38.700000000000003</v>
      </c>
      <c r="H13" s="9">
        <v>72.25</v>
      </c>
    </row>
    <row r="14" spans="2:8" ht="15.95" customHeight="1" x14ac:dyDescent="0.25">
      <c r="B14" s="2" t="s">
        <v>110</v>
      </c>
      <c r="C14" s="15">
        <v>35.5</v>
      </c>
      <c r="D14" s="15">
        <v>34.4</v>
      </c>
      <c r="E14" s="15">
        <v>57.8</v>
      </c>
      <c r="F14" s="15">
        <v>30.81</v>
      </c>
      <c r="G14" s="15">
        <v>32.700000000000003</v>
      </c>
      <c r="H14" s="15">
        <v>65.27</v>
      </c>
    </row>
    <row r="15" spans="2:8" ht="15.95" customHeight="1" x14ac:dyDescent="0.25">
      <c r="B15" s="14" t="s">
        <v>111</v>
      </c>
      <c r="C15" s="16">
        <v>0.32300000000000001</v>
      </c>
      <c r="D15" s="16">
        <v>0.16200000000000001</v>
      </c>
      <c r="E15" s="16">
        <v>0.20300000000000001</v>
      </c>
      <c r="F15" s="16">
        <v>0.36699999999999999</v>
      </c>
      <c r="G15" s="16">
        <v>0.28999999999999998</v>
      </c>
      <c r="H15" s="16">
        <v>0.32500000000000001</v>
      </c>
    </row>
    <row r="16" spans="2:8" ht="15.95" customHeight="1" x14ac:dyDescent="0.25">
      <c r="B16" s="2" t="s">
        <v>112</v>
      </c>
      <c r="C16" s="15">
        <v>23.88</v>
      </c>
      <c r="D16" s="15">
        <v>23.23</v>
      </c>
      <c r="E16" s="15">
        <v>39.32</v>
      </c>
      <c r="F16" s="15">
        <v>26</v>
      </c>
      <c r="G16" s="15">
        <v>27.63</v>
      </c>
      <c r="H16" s="15">
        <v>54.94</v>
      </c>
    </row>
    <row r="17" spans="2:8" ht="15.95" customHeight="1" x14ac:dyDescent="0.25"/>
    <row r="19" spans="2:8" x14ac:dyDescent="0.25">
      <c r="B19" s="62" t="s">
        <v>113</v>
      </c>
      <c r="C19" s="58"/>
      <c r="D19" s="58"/>
      <c r="E19" s="58"/>
      <c r="F19" s="58"/>
      <c r="G19" s="58"/>
      <c r="H19" s="58"/>
    </row>
    <row r="20" spans="2:8" ht="21.95" customHeight="1" x14ac:dyDescent="0.25">
      <c r="B20" s="1" t="s">
        <v>95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118</v>
      </c>
      <c r="H20" s="1" t="s">
        <v>119</v>
      </c>
    </row>
    <row r="21" spans="2:8" ht="33.950000000000003" customHeight="1" x14ac:dyDescent="0.25">
      <c r="B21" s="13" t="s">
        <v>120</v>
      </c>
      <c r="C21" s="4">
        <v>1223.68</v>
      </c>
      <c r="D21" s="4">
        <v>2541.73</v>
      </c>
      <c r="E21" s="4">
        <v>3540</v>
      </c>
      <c r="F21" s="4">
        <v>149.28</v>
      </c>
      <c r="G21" s="4">
        <v>203.81</v>
      </c>
      <c r="H21" s="4">
        <v>288.05</v>
      </c>
    </row>
    <row r="22" spans="2:8" ht="15.95" customHeight="1" x14ac:dyDescent="0.25">
      <c r="B22" s="14" t="s">
        <v>121</v>
      </c>
      <c r="C22" s="9">
        <v>1166.43</v>
      </c>
      <c r="D22" s="9">
        <v>2363.6</v>
      </c>
      <c r="E22" s="9">
        <v>3450</v>
      </c>
      <c r="F22" s="9">
        <v>14.2</v>
      </c>
      <c r="G22" s="9">
        <v>40.700000000000003</v>
      </c>
      <c r="H22" s="9">
        <v>96.16</v>
      </c>
    </row>
    <row r="23" spans="2:8" ht="15.95" customHeight="1" x14ac:dyDescent="0.25">
      <c r="B23" s="2" t="s">
        <v>122</v>
      </c>
      <c r="C23" s="15">
        <v>57.25</v>
      </c>
      <c r="D23" s="15">
        <v>178.13</v>
      </c>
      <c r="E23" s="15">
        <v>90</v>
      </c>
      <c r="F23" s="15">
        <v>135.08000000000001</v>
      </c>
      <c r="G23" s="15">
        <v>163.11000000000001</v>
      </c>
      <c r="H23" s="15">
        <v>191.89</v>
      </c>
    </row>
    <row r="24" spans="2:8" ht="15.95" customHeight="1" x14ac:dyDescent="0.25">
      <c r="B24" s="14" t="s">
        <v>123</v>
      </c>
      <c r="C24" s="16">
        <v>4.5999999999999999E-2</v>
      </c>
      <c r="D24" s="16">
        <v>7.0000000000000007E-2</v>
      </c>
      <c r="E24" s="16">
        <v>2.5000000000000001E-2</v>
      </c>
      <c r="F24" s="16">
        <v>0.90500000000000003</v>
      </c>
      <c r="G24" s="16">
        <v>0.8</v>
      </c>
      <c r="H24" s="16">
        <v>0.66600000000000004</v>
      </c>
    </row>
    <row r="25" spans="2:8" ht="15.95" customHeight="1" x14ac:dyDescent="0.25">
      <c r="B25" s="13" t="s">
        <v>124</v>
      </c>
      <c r="C25" s="4">
        <v>4.7300000000000004</v>
      </c>
      <c r="D25" s="4">
        <v>24.32</v>
      </c>
      <c r="E25" s="4">
        <v>13.5</v>
      </c>
      <c r="F25" s="4">
        <v>3.8</v>
      </c>
      <c r="G25" s="4">
        <v>5.2</v>
      </c>
      <c r="H25" s="4">
        <v>6.4</v>
      </c>
    </row>
    <row r="26" spans="2:8" ht="15.95" customHeight="1" x14ac:dyDescent="0.25">
      <c r="B26" s="14" t="s">
        <v>125</v>
      </c>
      <c r="C26" s="9">
        <v>20.69</v>
      </c>
      <c r="D26" s="9">
        <v>37.619999999999997</v>
      </c>
      <c r="E26" s="9">
        <v>11.6</v>
      </c>
      <c r="F26" s="9">
        <v>8.3000000000000007</v>
      </c>
      <c r="G26" s="9">
        <v>9.6</v>
      </c>
      <c r="H26" s="9">
        <v>12</v>
      </c>
    </row>
    <row r="27" spans="2:8" ht="15.95" customHeight="1" x14ac:dyDescent="0.25">
      <c r="B27" s="2" t="s">
        <v>108</v>
      </c>
      <c r="C27" s="15">
        <v>38.65</v>
      </c>
      <c r="D27" s="15">
        <v>165.83</v>
      </c>
      <c r="E27" s="15">
        <v>18.899999999999999</v>
      </c>
      <c r="F27" s="15">
        <v>24.1</v>
      </c>
      <c r="G27" s="15">
        <v>36.799999999999997</v>
      </c>
      <c r="H27" s="15">
        <v>136.5</v>
      </c>
    </row>
    <row r="28" spans="2:8" ht="15.95" customHeight="1" x14ac:dyDescent="0.25">
      <c r="B28" s="14" t="s">
        <v>109</v>
      </c>
      <c r="C28" s="9">
        <v>9.52</v>
      </c>
      <c r="D28" s="9">
        <v>70.11</v>
      </c>
      <c r="E28" s="9">
        <v>9.1</v>
      </c>
      <c r="F28" s="9">
        <v>6.7</v>
      </c>
      <c r="G28" s="9">
        <v>12</v>
      </c>
      <c r="H28" s="9">
        <v>39.28</v>
      </c>
    </row>
    <row r="29" spans="2:8" ht="15.95" customHeight="1" x14ac:dyDescent="0.25">
      <c r="B29" s="2" t="s">
        <v>110</v>
      </c>
      <c r="C29" s="15">
        <v>29.13</v>
      </c>
      <c r="D29" s="15">
        <v>95.72</v>
      </c>
      <c r="E29" s="15">
        <v>9.82</v>
      </c>
      <c r="F29" s="15">
        <v>17.399999999999999</v>
      </c>
      <c r="G29" s="15">
        <v>54.35</v>
      </c>
      <c r="H29" s="15">
        <v>97.22</v>
      </c>
    </row>
    <row r="30" spans="2:8" ht="15.95" customHeight="1" x14ac:dyDescent="0.25">
      <c r="B30" s="14" t="s">
        <v>111</v>
      </c>
      <c r="C30" s="16">
        <v>2.4E-2</v>
      </c>
      <c r="D30" s="16">
        <v>3.7999999999999999E-2</v>
      </c>
      <c r="E30" s="16">
        <v>3.0000000000000001E-3</v>
      </c>
      <c r="F30" s="16">
        <v>0.11700000000000001</v>
      </c>
      <c r="G30" s="16">
        <v>0.26700000000000002</v>
      </c>
      <c r="H30" s="16">
        <v>0.33700000000000002</v>
      </c>
    </row>
    <row r="31" spans="2:8" ht="15.95" customHeight="1" x14ac:dyDescent="0.25">
      <c r="B31" s="2" t="s">
        <v>112</v>
      </c>
      <c r="C31" s="15">
        <v>62.07</v>
      </c>
      <c r="D31" s="15">
        <v>194.35</v>
      </c>
      <c r="E31" s="15">
        <v>19.850000000000001</v>
      </c>
      <c r="F31" s="15">
        <v>4.95</v>
      </c>
      <c r="G31" s="15">
        <v>19.190000000000001</v>
      </c>
      <c r="H31" s="15">
        <v>35.72</v>
      </c>
    </row>
    <row r="32" spans="2:8" ht="15.95" customHeight="1" x14ac:dyDescent="0.25"/>
    <row r="34" spans="2:8" x14ac:dyDescent="0.25">
      <c r="B34" s="62" t="s">
        <v>126</v>
      </c>
      <c r="C34" s="58"/>
      <c r="D34" s="58"/>
      <c r="E34" s="58"/>
      <c r="F34" s="58"/>
      <c r="G34" s="58"/>
      <c r="H34" s="58"/>
    </row>
    <row r="35" spans="2:8" ht="21.95" customHeight="1" x14ac:dyDescent="0.25">
      <c r="B35" s="1" t="s">
        <v>95</v>
      </c>
      <c r="C35" s="1" t="s">
        <v>127</v>
      </c>
      <c r="D35" s="1" t="s">
        <v>128</v>
      </c>
      <c r="E35" s="1" t="s">
        <v>129</v>
      </c>
      <c r="F35" s="1" t="s">
        <v>130</v>
      </c>
      <c r="G35" s="1" t="s">
        <v>131</v>
      </c>
      <c r="H35" s="1" t="s">
        <v>132</v>
      </c>
    </row>
    <row r="36" spans="2:8" ht="33.950000000000003" customHeight="1" x14ac:dyDescent="0.25">
      <c r="B36" s="13" t="s">
        <v>120</v>
      </c>
      <c r="C36" s="4">
        <v>67.400000000000006</v>
      </c>
      <c r="D36" s="4">
        <v>162</v>
      </c>
      <c r="E36" s="4">
        <v>200.6</v>
      </c>
      <c r="F36" s="4">
        <v>22.8</v>
      </c>
      <c r="G36" s="4">
        <v>28.31</v>
      </c>
      <c r="H36" s="4">
        <v>34.590000000000003</v>
      </c>
    </row>
    <row r="37" spans="2:8" ht="15.95" customHeight="1" x14ac:dyDescent="0.25">
      <c r="B37" s="14" t="s">
        <v>133</v>
      </c>
      <c r="C37" s="9">
        <v>46.9</v>
      </c>
      <c r="D37" s="9">
        <v>112.65</v>
      </c>
      <c r="E37" s="9">
        <v>129.5</v>
      </c>
      <c r="F37" s="9">
        <v>12.52</v>
      </c>
      <c r="G37" s="9">
        <v>16.309999999999999</v>
      </c>
      <c r="H37" s="9">
        <v>19.78</v>
      </c>
    </row>
    <row r="38" spans="2:8" ht="15.95" customHeight="1" x14ac:dyDescent="0.25">
      <c r="B38" s="2" t="s">
        <v>122</v>
      </c>
      <c r="C38" s="15">
        <v>20.5</v>
      </c>
      <c r="D38" s="15">
        <v>49.35</v>
      </c>
      <c r="E38" s="15">
        <v>71.099999999999994</v>
      </c>
      <c r="F38" s="15">
        <v>10.28</v>
      </c>
      <c r="G38" s="15">
        <v>11.99</v>
      </c>
      <c r="H38" s="15">
        <v>14.81</v>
      </c>
    </row>
    <row r="39" spans="2:8" ht="15.95" customHeight="1" x14ac:dyDescent="0.25">
      <c r="B39" s="14" t="s">
        <v>123</v>
      </c>
      <c r="C39" s="16">
        <v>0.30399999999999999</v>
      </c>
      <c r="D39" s="16">
        <v>0.30499999999999999</v>
      </c>
      <c r="E39" s="16">
        <v>0.35399999999999998</v>
      </c>
      <c r="F39" s="16">
        <v>0.45100000000000001</v>
      </c>
      <c r="G39" s="16">
        <v>0.42399999999999999</v>
      </c>
      <c r="H39" s="16">
        <v>0.42799999999999999</v>
      </c>
    </row>
    <row r="40" spans="2:8" ht="15.95" customHeight="1" x14ac:dyDescent="0.25">
      <c r="B40" s="13" t="s">
        <v>124</v>
      </c>
      <c r="C40" s="4">
        <v>1.2</v>
      </c>
      <c r="D40" s="4">
        <v>1.8</v>
      </c>
      <c r="E40" s="4">
        <v>2.8</v>
      </c>
      <c r="F40" s="4">
        <v>0.8</v>
      </c>
      <c r="G40" s="4">
        <v>1</v>
      </c>
      <c r="H40" s="4">
        <v>2.44</v>
      </c>
    </row>
    <row r="41" spans="2:8" ht="15.95" customHeight="1" x14ac:dyDescent="0.25">
      <c r="B41" s="14" t="s">
        <v>107</v>
      </c>
      <c r="C41" s="9">
        <v>8.8000000000000007</v>
      </c>
      <c r="D41" s="9">
        <v>23.45</v>
      </c>
      <c r="E41" s="9">
        <v>37.200000000000003</v>
      </c>
      <c r="F41" s="9">
        <v>4.2</v>
      </c>
      <c r="G41" s="9">
        <v>4.84</v>
      </c>
      <c r="H41" s="9">
        <v>6.77</v>
      </c>
    </row>
    <row r="42" spans="2:8" ht="15.95" customHeight="1" x14ac:dyDescent="0.25">
      <c r="B42" s="2" t="s">
        <v>108</v>
      </c>
      <c r="C42" s="15">
        <v>9.5</v>
      </c>
      <c r="D42" s="15">
        <v>21.7</v>
      </c>
      <c r="E42" s="15">
        <v>29.8</v>
      </c>
      <c r="F42" s="15">
        <v>6.88</v>
      </c>
      <c r="G42" s="15">
        <v>8.15</v>
      </c>
      <c r="H42" s="15">
        <v>10.38</v>
      </c>
    </row>
    <row r="43" spans="2:8" ht="15.95" customHeight="1" x14ac:dyDescent="0.25">
      <c r="B43" s="14" t="s">
        <v>109</v>
      </c>
      <c r="C43" s="9">
        <v>3.05</v>
      </c>
      <c r="D43" s="9">
        <v>6.7</v>
      </c>
      <c r="E43" s="9">
        <v>13.3</v>
      </c>
      <c r="F43" s="9">
        <v>2.08</v>
      </c>
      <c r="G43" s="9">
        <v>0.12</v>
      </c>
      <c r="H43" s="9">
        <v>0.03</v>
      </c>
    </row>
    <row r="44" spans="2:8" ht="15.95" customHeight="1" x14ac:dyDescent="0.25">
      <c r="B44" s="2" t="s">
        <v>110</v>
      </c>
      <c r="C44" s="15">
        <v>6.45</v>
      </c>
      <c r="D44" s="15">
        <v>15</v>
      </c>
      <c r="E44" s="15">
        <v>16.5</v>
      </c>
      <c r="F44" s="15">
        <v>4.8</v>
      </c>
      <c r="G44" s="15">
        <v>8.3699999999999992</v>
      </c>
      <c r="H44" s="15">
        <v>9.74</v>
      </c>
    </row>
    <row r="45" spans="2:8" ht="15.95" customHeight="1" x14ac:dyDescent="0.25">
      <c r="B45" s="14" t="s">
        <v>111</v>
      </c>
      <c r="C45" s="16">
        <v>9.6000000000000002E-2</v>
      </c>
      <c r="D45" s="16">
        <v>9.2999999999999999E-2</v>
      </c>
      <c r="E45" s="16">
        <v>8.2000000000000003E-2</v>
      </c>
      <c r="F45" s="16">
        <v>0.21099999999999999</v>
      </c>
      <c r="G45" s="16">
        <v>0.29599999999999999</v>
      </c>
      <c r="H45" s="16">
        <v>0.28199999999999997</v>
      </c>
    </row>
    <row r="46" spans="2:8" ht="15.95" customHeight="1" x14ac:dyDescent="0.25">
      <c r="B46" s="2" t="s">
        <v>112</v>
      </c>
      <c r="C46" s="15">
        <v>142.30000000000001</v>
      </c>
      <c r="D46" s="15">
        <v>331.86</v>
      </c>
      <c r="E46" s="15">
        <v>363.68</v>
      </c>
      <c r="F46" s="15">
        <v>620</v>
      </c>
      <c r="G46" s="15">
        <v>1248.4100000000001</v>
      </c>
      <c r="H46" s="15">
        <v>1529.68</v>
      </c>
    </row>
    <row r="47" spans="2:8" ht="15.95" customHeight="1" x14ac:dyDescent="0.25"/>
  </sheetData>
  <mergeCells count="4">
    <mergeCell ref="B34:H34"/>
    <mergeCell ref="B2:H2"/>
    <mergeCell ref="B4:H4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2"/>
  <sheetViews>
    <sheetView showGridLines="0" workbookViewId="0">
      <selection activeCell="L7" sqref="L7"/>
    </sheetView>
  </sheetViews>
  <sheetFormatPr defaultRowHeight="15" x14ac:dyDescent="0.25"/>
  <cols>
    <col min="1" max="1" width="2" customWidth="1"/>
    <col min="2" max="2" width="34" customWidth="1"/>
    <col min="3" max="8" width="12" customWidth="1"/>
    <col min="9" max="9" width="2" customWidth="1"/>
  </cols>
  <sheetData>
    <row r="2" spans="2:8" ht="26.1" customHeight="1" x14ac:dyDescent="0.25">
      <c r="B2" s="66" t="s">
        <v>221</v>
      </c>
      <c r="C2" s="58"/>
      <c r="D2" s="58"/>
      <c r="E2" s="58"/>
      <c r="F2" s="58"/>
      <c r="G2" s="58"/>
      <c r="H2" s="58"/>
    </row>
    <row r="3" spans="2:8" ht="27.95" customHeight="1" x14ac:dyDescent="0.25"/>
    <row r="4" spans="2:8" x14ac:dyDescent="0.25">
      <c r="B4" s="62" t="s">
        <v>94</v>
      </c>
      <c r="C4" s="58"/>
      <c r="D4" s="58"/>
      <c r="E4" s="58"/>
      <c r="F4" s="58"/>
      <c r="G4" s="58"/>
      <c r="H4" s="58"/>
    </row>
    <row r="5" spans="2:8" ht="21.95" customHeight="1" x14ac:dyDescent="0.25">
      <c r="B5" s="1" t="s">
        <v>134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</row>
    <row r="6" spans="2:8" ht="33.950000000000003" customHeight="1" x14ac:dyDescent="0.25">
      <c r="B6" s="13" t="s">
        <v>135</v>
      </c>
      <c r="C6" s="4">
        <v>45.2</v>
      </c>
      <c r="D6" s="4">
        <v>72.8</v>
      </c>
      <c r="E6" s="4">
        <v>118.4</v>
      </c>
      <c r="F6" s="4">
        <v>28.1</v>
      </c>
      <c r="G6" s="4">
        <v>47.3</v>
      </c>
      <c r="H6" s="4">
        <v>83.6</v>
      </c>
    </row>
    <row r="7" spans="2:8" ht="15.95" customHeight="1" x14ac:dyDescent="0.25">
      <c r="B7" s="14" t="s">
        <v>136</v>
      </c>
      <c r="C7" s="9">
        <v>-18.3</v>
      </c>
      <c r="D7" s="9">
        <v>-24.1</v>
      </c>
      <c r="E7" s="9">
        <v>-31.7</v>
      </c>
      <c r="F7" s="9">
        <v>-9.8000000000000007</v>
      </c>
      <c r="G7" s="9">
        <v>-13.2</v>
      </c>
      <c r="H7" s="9">
        <v>-18.399999999999999</v>
      </c>
    </row>
    <row r="8" spans="2:8" ht="15.95" customHeight="1" x14ac:dyDescent="0.25">
      <c r="B8" s="13" t="s">
        <v>137</v>
      </c>
      <c r="C8" s="4">
        <v>-12.1</v>
      </c>
      <c r="D8" s="4">
        <v>-18.899999999999999</v>
      </c>
      <c r="E8" s="4">
        <v>-28.4</v>
      </c>
      <c r="F8" s="4">
        <v>-8.6</v>
      </c>
      <c r="G8" s="4">
        <v>-12.1</v>
      </c>
      <c r="H8" s="4">
        <v>-22.1</v>
      </c>
    </row>
    <row r="9" spans="2:8" ht="15.95" customHeight="1" x14ac:dyDescent="0.25">
      <c r="B9" s="7" t="s">
        <v>138</v>
      </c>
      <c r="C9" s="17">
        <v>26.9</v>
      </c>
      <c r="D9" s="17">
        <v>48.7</v>
      </c>
      <c r="E9" s="17">
        <v>86.7</v>
      </c>
      <c r="F9" s="17">
        <v>18.3</v>
      </c>
      <c r="G9" s="17">
        <v>34.1</v>
      </c>
      <c r="H9" s="17">
        <v>65.2</v>
      </c>
    </row>
    <row r="10" spans="2:8" ht="15.95" customHeight="1" x14ac:dyDescent="0.25">
      <c r="B10" s="13" t="s">
        <v>110</v>
      </c>
      <c r="C10" s="4">
        <v>35.5</v>
      </c>
      <c r="D10" s="4">
        <v>34.4</v>
      </c>
      <c r="E10" s="4">
        <v>57.8</v>
      </c>
      <c r="F10" s="4">
        <v>30.81</v>
      </c>
      <c r="G10" s="4">
        <v>32.700000000000003</v>
      </c>
      <c r="H10" s="4">
        <v>65.27</v>
      </c>
    </row>
    <row r="11" spans="2:8" ht="15.95" customHeight="1" x14ac:dyDescent="0.25">
      <c r="B11" s="7" t="s">
        <v>139</v>
      </c>
      <c r="C11" s="18">
        <v>1.27</v>
      </c>
      <c r="D11" s="18">
        <v>2.12</v>
      </c>
      <c r="E11" s="18">
        <v>2.0499999999999998</v>
      </c>
      <c r="F11" s="18">
        <v>0.91</v>
      </c>
      <c r="G11" s="18">
        <v>1.45</v>
      </c>
      <c r="H11" s="18">
        <v>1.28</v>
      </c>
    </row>
    <row r="12" spans="2:8" ht="15.95" customHeight="1" x14ac:dyDescent="0.25"/>
    <row r="14" spans="2:8" x14ac:dyDescent="0.25">
      <c r="B14" s="62" t="s">
        <v>113</v>
      </c>
      <c r="C14" s="58"/>
      <c r="D14" s="58"/>
      <c r="E14" s="58"/>
      <c r="F14" s="58"/>
      <c r="G14" s="58"/>
      <c r="H14" s="58"/>
    </row>
    <row r="15" spans="2:8" ht="21.95" customHeight="1" x14ac:dyDescent="0.25">
      <c r="B15" s="1" t="s">
        <v>134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</row>
    <row r="16" spans="2:8" ht="33.950000000000003" customHeight="1" x14ac:dyDescent="0.25">
      <c r="B16" s="13" t="s">
        <v>135</v>
      </c>
      <c r="C16" s="4">
        <v>14.3</v>
      </c>
      <c r="D16" s="4">
        <v>-28.7</v>
      </c>
      <c r="E16" s="4">
        <v>-42.1</v>
      </c>
      <c r="F16" s="4">
        <v>53.4</v>
      </c>
      <c r="G16" s="4">
        <v>33.4</v>
      </c>
      <c r="H16" s="4">
        <v>11.9</v>
      </c>
    </row>
    <row r="17" spans="2:8" ht="15.95" customHeight="1" x14ac:dyDescent="0.25">
      <c r="B17" s="14" t="s">
        <v>136</v>
      </c>
      <c r="C17" s="9">
        <v>-8.1999999999999993</v>
      </c>
      <c r="D17" s="9">
        <v>-12.4</v>
      </c>
      <c r="E17" s="9">
        <v>-14.1</v>
      </c>
      <c r="F17" s="9">
        <v>-8.1</v>
      </c>
      <c r="G17" s="9">
        <v>-12.3</v>
      </c>
      <c r="H17" s="9">
        <v>-18.100000000000001</v>
      </c>
    </row>
    <row r="18" spans="2:8" ht="15.95" customHeight="1" x14ac:dyDescent="0.25">
      <c r="B18" s="13" t="s">
        <v>137</v>
      </c>
      <c r="C18" s="4">
        <v>6.8</v>
      </c>
      <c r="D18" s="4">
        <v>38.4</v>
      </c>
      <c r="E18" s="4">
        <v>54.3</v>
      </c>
      <c r="F18" s="4">
        <v>-8.1999999999999993</v>
      </c>
      <c r="G18" s="4">
        <v>-10.4</v>
      </c>
      <c r="H18" s="4">
        <v>-12.8</v>
      </c>
    </row>
    <row r="19" spans="2:8" ht="15.95" customHeight="1" x14ac:dyDescent="0.25">
      <c r="B19" s="7" t="s">
        <v>138</v>
      </c>
      <c r="C19" s="17">
        <v>6.1</v>
      </c>
      <c r="D19" s="17">
        <v>-41.1</v>
      </c>
      <c r="E19" s="17">
        <v>-56.2</v>
      </c>
      <c r="F19" s="17">
        <v>45.3</v>
      </c>
      <c r="G19" s="17">
        <v>21.1</v>
      </c>
      <c r="H19" s="17">
        <v>-6.2</v>
      </c>
    </row>
    <row r="20" spans="2:8" ht="15.95" customHeight="1" x14ac:dyDescent="0.25">
      <c r="B20" s="13" t="s">
        <v>110</v>
      </c>
      <c r="C20" s="4">
        <v>29.13</v>
      </c>
      <c r="D20" s="4">
        <v>95.72</v>
      </c>
      <c r="E20" s="4">
        <v>9.82</v>
      </c>
      <c r="F20" s="4">
        <v>17.399999999999999</v>
      </c>
      <c r="G20" s="4">
        <v>54.35</v>
      </c>
      <c r="H20" s="4">
        <v>97.22</v>
      </c>
    </row>
    <row r="21" spans="2:8" ht="15.95" customHeight="1" x14ac:dyDescent="0.25">
      <c r="B21" s="7" t="s">
        <v>139</v>
      </c>
      <c r="C21" s="18">
        <v>0.49</v>
      </c>
      <c r="D21" s="18">
        <v>-0.3</v>
      </c>
      <c r="E21" s="18">
        <v>-4.29</v>
      </c>
      <c r="F21" s="18">
        <v>3.07</v>
      </c>
      <c r="G21" s="18">
        <v>0.61</v>
      </c>
      <c r="H21" s="18">
        <v>0.12</v>
      </c>
    </row>
    <row r="22" spans="2:8" ht="15.95" customHeight="1" x14ac:dyDescent="0.25"/>
    <row r="24" spans="2:8" x14ac:dyDescent="0.25">
      <c r="B24" s="62" t="s">
        <v>126</v>
      </c>
      <c r="C24" s="58"/>
      <c r="D24" s="58"/>
      <c r="E24" s="58"/>
      <c r="F24" s="58"/>
      <c r="G24" s="58"/>
      <c r="H24" s="58"/>
    </row>
    <row r="25" spans="2:8" ht="21.95" customHeight="1" x14ac:dyDescent="0.25">
      <c r="B25" s="1" t="s">
        <v>134</v>
      </c>
      <c r="C25" s="1" t="s">
        <v>127</v>
      </c>
      <c r="D25" s="1" t="s">
        <v>128</v>
      </c>
      <c r="E25" s="1" t="s">
        <v>129</v>
      </c>
      <c r="F25" s="1" t="s">
        <v>130</v>
      </c>
      <c r="G25" s="1" t="s">
        <v>131</v>
      </c>
      <c r="H25" s="1" t="s">
        <v>132</v>
      </c>
    </row>
    <row r="26" spans="2:8" ht="33.950000000000003" customHeight="1" x14ac:dyDescent="0.25">
      <c r="B26" s="13" t="s">
        <v>135</v>
      </c>
      <c r="C26" s="4">
        <v>9.8000000000000007</v>
      </c>
      <c r="D26" s="4">
        <v>8.4</v>
      </c>
      <c r="E26" s="4">
        <v>7.1</v>
      </c>
      <c r="F26" s="4">
        <v>3.8</v>
      </c>
      <c r="G26" s="4">
        <v>4.2</v>
      </c>
      <c r="H26" s="4">
        <v>5.8</v>
      </c>
    </row>
    <row r="27" spans="2:8" ht="15.95" customHeight="1" x14ac:dyDescent="0.25">
      <c r="B27" s="14" t="s">
        <v>136</v>
      </c>
      <c r="C27" s="9">
        <v>-3.4</v>
      </c>
      <c r="D27" s="9">
        <v>-4.8</v>
      </c>
      <c r="E27" s="9">
        <v>-5.2</v>
      </c>
      <c r="F27" s="9">
        <v>-1.2</v>
      </c>
      <c r="G27" s="9">
        <v>-1.8</v>
      </c>
      <c r="H27" s="9">
        <v>-2.1</v>
      </c>
    </row>
    <row r="28" spans="2:8" ht="15.95" customHeight="1" x14ac:dyDescent="0.25">
      <c r="B28" s="13" t="s">
        <v>137</v>
      </c>
      <c r="C28" s="4">
        <v>-4.2</v>
      </c>
      <c r="D28" s="4">
        <v>-3.8</v>
      </c>
      <c r="E28" s="4">
        <v>-2.4</v>
      </c>
      <c r="F28" s="4">
        <v>-1.8</v>
      </c>
      <c r="G28" s="4">
        <v>-2.4</v>
      </c>
      <c r="H28" s="4">
        <v>-3.2</v>
      </c>
    </row>
    <row r="29" spans="2:8" ht="15.95" customHeight="1" x14ac:dyDescent="0.25">
      <c r="B29" s="7" t="s">
        <v>138</v>
      </c>
      <c r="C29" s="17">
        <v>6.4</v>
      </c>
      <c r="D29" s="17">
        <v>3.6</v>
      </c>
      <c r="E29" s="17">
        <v>1.9</v>
      </c>
      <c r="F29" s="17">
        <v>2.6</v>
      </c>
      <c r="G29" s="17">
        <v>2.4</v>
      </c>
      <c r="H29" s="17">
        <v>3.7</v>
      </c>
    </row>
    <row r="30" spans="2:8" ht="15.95" customHeight="1" x14ac:dyDescent="0.25">
      <c r="B30" s="13" t="s">
        <v>110</v>
      </c>
      <c r="C30" s="4">
        <v>6.45</v>
      </c>
      <c r="D30" s="4">
        <v>15</v>
      </c>
      <c r="E30" s="4">
        <v>16.5</v>
      </c>
      <c r="F30" s="4">
        <v>4.8</v>
      </c>
      <c r="G30" s="4">
        <v>8.3699999999999992</v>
      </c>
      <c r="H30" s="4">
        <v>9.74</v>
      </c>
    </row>
    <row r="31" spans="2:8" ht="15.95" customHeight="1" x14ac:dyDescent="0.25">
      <c r="B31" s="7" t="s">
        <v>139</v>
      </c>
      <c r="C31" s="18">
        <v>1.52</v>
      </c>
      <c r="D31" s="18">
        <v>0.56000000000000005</v>
      </c>
      <c r="E31" s="18">
        <v>0.43</v>
      </c>
      <c r="F31" s="18">
        <v>0.79</v>
      </c>
      <c r="G31" s="18">
        <v>0.5</v>
      </c>
      <c r="H31" s="18">
        <v>0.6</v>
      </c>
    </row>
    <row r="32" spans="2:8" ht="15.95" customHeight="1" x14ac:dyDescent="0.25"/>
  </sheetData>
  <mergeCells count="4">
    <mergeCell ref="B2:H2"/>
    <mergeCell ref="B14:H14"/>
    <mergeCell ref="B24:H24"/>
    <mergeCell ref="B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2"/>
  <sheetViews>
    <sheetView showGridLines="0" workbookViewId="0">
      <selection activeCell="B2" sqref="B2:H2"/>
    </sheetView>
  </sheetViews>
  <sheetFormatPr defaultRowHeight="15" x14ac:dyDescent="0.25"/>
  <cols>
    <col min="1" max="1" width="2" customWidth="1"/>
    <col min="2" max="2" width="34" customWidth="1"/>
    <col min="3" max="8" width="12" customWidth="1"/>
    <col min="9" max="9" width="2" customWidth="1"/>
  </cols>
  <sheetData>
    <row r="2" spans="2:8" ht="26.1" customHeight="1" x14ac:dyDescent="0.25">
      <c r="B2" s="66" t="s">
        <v>217</v>
      </c>
      <c r="C2" s="58"/>
      <c r="D2" s="58"/>
      <c r="E2" s="58"/>
      <c r="F2" s="58"/>
      <c r="G2" s="58"/>
      <c r="H2" s="58"/>
    </row>
    <row r="3" spans="2:8" ht="27.95" customHeight="1" x14ac:dyDescent="0.25"/>
    <row r="4" spans="2:8" x14ac:dyDescent="0.25">
      <c r="B4" s="62" t="s">
        <v>94</v>
      </c>
      <c r="C4" s="58"/>
      <c r="D4" s="58"/>
      <c r="E4" s="58"/>
      <c r="F4" s="58"/>
      <c r="G4" s="58"/>
      <c r="H4" s="58"/>
    </row>
    <row r="5" spans="2:8" ht="21.95" customHeight="1" x14ac:dyDescent="0.25">
      <c r="B5" s="1" t="s">
        <v>140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</row>
    <row r="6" spans="2:8" ht="33.950000000000003" customHeight="1" x14ac:dyDescent="0.25">
      <c r="B6" s="13" t="s">
        <v>141</v>
      </c>
      <c r="C6" s="4">
        <v>14.7</v>
      </c>
      <c r="D6" s="4">
        <v>14.7</v>
      </c>
      <c r="E6" s="4">
        <v>14.7</v>
      </c>
      <c r="F6" s="4">
        <v>8.98</v>
      </c>
      <c r="G6" s="4">
        <v>8.98</v>
      </c>
      <c r="H6" s="4">
        <v>8.98</v>
      </c>
    </row>
    <row r="7" spans="2:8" ht="15.95" customHeight="1" x14ac:dyDescent="0.25">
      <c r="B7" s="14" t="s">
        <v>142</v>
      </c>
      <c r="C7" s="9">
        <v>94.2</v>
      </c>
      <c r="D7" s="9">
        <v>104.3</v>
      </c>
      <c r="E7" s="9">
        <v>138.1</v>
      </c>
      <c r="F7" s="9">
        <v>68.400000000000006</v>
      </c>
      <c r="G7" s="9">
        <v>82.1</v>
      </c>
      <c r="H7" s="9">
        <v>110.2</v>
      </c>
    </row>
    <row r="8" spans="2:8" ht="15.95" customHeight="1" x14ac:dyDescent="0.25">
      <c r="B8" s="2" t="s">
        <v>143</v>
      </c>
      <c r="C8" s="15">
        <v>108.9</v>
      </c>
      <c r="D8" s="15">
        <v>119</v>
      </c>
      <c r="E8" s="15">
        <v>152.80000000000001</v>
      </c>
      <c r="F8" s="15">
        <v>77.38</v>
      </c>
      <c r="G8" s="15">
        <v>91.08</v>
      </c>
      <c r="H8" s="15">
        <v>119.18</v>
      </c>
    </row>
    <row r="9" spans="2:8" ht="15.95" customHeight="1" x14ac:dyDescent="0.25">
      <c r="B9" s="14" t="s">
        <v>144</v>
      </c>
      <c r="C9" s="9">
        <v>6.5</v>
      </c>
      <c r="D9" s="9">
        <v>6.5</v>
      </c>
      <c r="E9" s="9">
        <v>15</v>
      </c>
      <c r="F9" s="9">
        <v>19</v>
      </c>
      <c r="G9" s="9">
        <v>22</v>
      </c>
      <c r="H9" s="9">
        <v>30</v>
      </c>
    </row>
    <row r="10" spans="2:8" ht="15.95" customHeight="1" x14ac:dyDescent="0.25">
      <c r="B10" s="2" t="s">
        <v>145</v>
      </c>
      <c r="C10" s="19">
        <v>0.32600000000000001</v>
      </c>
      <c r="D10" s="19">
        <v>0.28899999999999998</v>
      </c>
      <c r="E10" s="19">
        <v>0.379</v>
      </c>
      <c r="F10" s="19">
        <v>0.39800000000000002</v>
      </c>
      <c r="G10" s="19">
        <v>0.35899999999999999</v>
      </c>
      <c r="H10" s="19">
        <v>0.54800000000000004</v>
      </c>
    </row>
    <row r="11" spans="2:8" ht="15.95" customHeight="1" x14ac:dyDescent="0.25">
      <c r="B11" s="14" t="s">
        <v>146</v>
      </c>
      <c r="C11" s="9">
        <v>110</v>
      </c>
      <c r="D11" s="9">
        <v>127</v>
      </c>
      <c r="E11" s="9">
        <v>155</v>
      </c>
      <c r="F11" s="9">
        <v>107</v>
      </c>
      <c r="G11" s="9">
        <v>126</v>
      </c>
      <c r="H11" s="9">
        <v>165</v>
      </c>
    </row>
    <row r="12" spans="2:8" ht="15.95" customHeight="1" x14ac:dyDescent="0.25"/>
    <row r="14" spans="2:8" x14ac:dyDescent="0.25">
      <c r="B14" s="62" t="s">
        <v>113</v>
      </c>
      <c r="C14" s="58"/>
      <c r="D14" s="58"/>
      <c r="E14" s="58"/>
      <c r="F14" s="58"/>
      <c r="G14" s="58"/>
      <c r="H14" s="58"/>
    </row>
    <row r="15" spans="2:8" ht="21.95" customHeight="1" x14ac:dyDescent="0.25">
      <c r="B15" s="1" t="s">
        <v>140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</row>
    <row r="16" spans="2:8" ht="33.950000000000003" customHeight="1" x14ac:dyDescent="0.25">
      <c r="B16" s="13" t="s">
        <v>141</v>
      </c>
      <c r="C16" s="4">
        <v>2.5499999999999998</v>
      </c>
      <c r="D16" s="4">
        <v>2.5499999999999998</v>
      </c>
      <c r="E16" s="4">
        <v>2.5499999999999998</v>
      </c>
      <c r="F16" s="4">
        <v>14.77</v>
      </c>
      <c r="G16" s="4">
        <v>14.77</v>
      </c>
      <c r="H16" s="4">
        <v>14.77</v>
      </c>
    </row>
    <row r="17" spans="2:8" ht="15.95" customHeight="1" x14ac:dyDescent="0.25">
      <c r="B17" s="14" t="s">
        <v>142</v>
      </c>
      <c r="C17" s="9">
        <v>43.8</v>
      </c>
      <c r="D17" s="9">
        <v>52.1</v>
      </c>
      <c r="E17" s="9">
        <v>43.8</v>
      </c>
      <c r="F17" s="9">
        <v>82.4</v>
      </c>
      <c r="G17" s="9">
        <v>96.2</v>
      </c>
      <c r="H17" s="9">
        <v>112.4</v>
      </c>
    </row>
    <row r="18" spans="2:8" ht="15.95" customHeight="1" x14ac:dyDescent="0.25">
      <c r="B18" s="2" t="s">
        <v>143</v>
      </c>
      <c r="C18" s="15">
        <v>46.35</v>
      </c>
      <c r="D18" s="15">
        <v>54.65</v>
      </c>
      <c r="E18" s="15">
        <v>46.35</v>
      </c>
      <c r="F18" s="15">
        <v>97.17</v>
      </c>
      <c r="G18" s="15">
        <v>110.97</v>
      </c>
      <c r="H18" s="15">
        <v>127.17</v>
      </c>
    </row>
    <row r="19" spans="2:8" ht="15.95" customHeight="1" x14ac:dyDescent="0.25">
      <c r="B19" s="14" t="s">
        <v>144</v>
      </c>
      <c r="C19" s="9">
        <v>5</v>
      </c>
      <c r="D19" s="9">
        <v>10</v>
      </c>
      <c r="E19" s="9">
        <v>7.5</v>
      </c>
      <c r="F19" s="9">
        <v>3.5</v>
      </c>
      <c r="G19" s="9">
        <v>5.5</v>
      </c>
      <c r="H19" s="9">
        <v>1.5</v>
      </c>
    </row>
    <row r="20" spans="2:8" ht="15.95" customHeight="1" x14ac:dyDescent="0.25">
      <c r="B20" s="2" t="s">
        <v>145</v>
      </c>
      <c r="C20" s="19">
        <v>0.629</v>
      </c>
      <c r="D20" s="19">
        <v>1.7509999999999999</v>
      </c>
      <c r="E20" s="19">
        <v>0.21199999999999999</v>
      </c>
      <c r="F20" s="19">
        <v>0.17899999999999999</v>
      </c>
      <c r="G20" s="19">
        <v>0.49</v>
      </c>
      <c r="H20" s="19">
        <v>0.76500000000000001</v>
      </c>
    </row>
    <row r="21" spans="2:8" ht="15.95" customHeight="1" x14ac:dyDescent="0.25">
      <c r="B21" s="14" t="s">
        <v>146</v>
      </c>
      <c r="C21" s="9">
        <v>195</v>
      </c>
      <c r="D21" s="9">
        <v>232</v>
      </c>
      <c r="E21" s="9">
        <v>197</v>
      </c>
      <c r="F21" s="9">
        <v>65.8</v>
      </c>
      <c r="G21" s="9">
        <v>75</v>
      </c>
      <c r="H21" s="9">
        <v>86</v>
      </c>
    </row>
    <row r="22" spans="2:8" ht="15.95" customHeight="1" x14ac:dyDescent="0.25"/>
    <row r="24" spans="2:8" x14ac:dyDescent="0.25">
      <c r="B24" s="62" t="s">
        <v>126</v>
      </c>
      <c r="C24" s="58"/>
      <c r="D24" s="58"/>
      <c r="E24" s="58"/>
      <c r="F24" s="58"/>
      <c r="G24" s="58"/>
      <c r="H24" s="58"/>
    </row>
    <row r="25" spans="2:8" ht="21.95" customHeight="1" x14ac:dyDescent="0.25">
      <c r="B25" s="1" t="s">
        <v>140</v>
      </c>
      <c r="C25" s="1" t="s">
        <v>127</v>
      </c>
      <c r="D25" s="1" t="s">
        <v>128</v>
      </c>
      <c r="E25" s="1" t="s">
        <v>129</v>
      </c>
      <c r="F25" s="1" t="s">
        <v>130</v>
      </c>
      <c r="G25" s="1" t="s">
        <v>131</v>
      </c>
      <c r="H25" s="1" t="s">
        <v>132</v>
      </c>
    </row>
    <row r="26" spans="2:8" ht="33.950000000000003" customHeight="1" x14ac:dyDescent="0.25">
      <c r="B26" s="13" t="s">
        <v>141</v>
      </c>
      <c r="C26" s="4">
        <v>0.45</v>
      </c>
      <c r="D26" s="4">
        <v>0.45</v>
      </c>
      <c r="E26" s="4">
        <v>0.45</v>
      </c>
      <c r="F26" s="4">
        <v>6.4000000000000001E-2</v>
      </c>
      <c r="G26" s="4">
        <v>6.4000000000000001E-2</v>
      </c>
      <c r="H26" s="4">
        <v>6.4000000000000001E-2</v>
      </c>
    </row>
    <row r="27" spans="2:8" ht="15.95" customHeight="1" x14ac:dyDescent="0.25">
      <c r="B27" s="14" t="s">
        <v>142</v>
      </c>
      <c r="C27" s="9">
        <v>10.4</v>
      </c>
      <c r="D27" s="9">
        <v>12.8</v>
      </c>
      <c r="E27" s="9">
        <v>16.399999999999999</v>
      </c>
      <c r="F27" s="9">
        <v>2.8</v>
      </c>
      <c r="G27" s="9">
        <v>3.4</v>
      </c>
      <c r="H27" s="9">
        <v>4.2</v>
      </c>
    </row>
    <row r="28" spans="2:8" ht="15.95" customHeight="1" x14ac:dyDescent="0.25">
      <c r="B28" s="2" t="s">
        <v>143</v>
      </c>
      <c r="C28" s="15">
        <v>10.85</v>
      </c>
      <c r="D28" s="15">
        <v>13.25</v>
      </c>
      <c r="E28" s="15">
        <v>16.850000000000001</v>
      </c>
      <c r="F28" s="15">
        <v>2.8639999999999999</v>
      </c>
      <c r="G28" s="15">
        <v>3.464</v>
      </c>
      <c r="H28" s="15">
        <v>4.2640000000000002</v>
      </c>
    </row>
    <row r="29" spans="2:8" ht="15.95" customHeight="1" x14ac:dyDescent="0.25">
      <c r="B29" s="14" t="s">
        <v>144</v>
      </c>
      <c r="C29" s="9">
        <v>325</v>
      </c>
      <c r="D29" s="9">
        <v>275</v>
      </c>
      <c r="E29" s="9">
        <v>193</v>
      </c>
      <c r="F29" s="9">
        <v>620</v>
      </c>
      <c r="G29" s="9">
        <v>900</v>
      </c>
      <c r="H29" s="9">
        <v>429</v>
      </c>
    </row>
    <row r="30" spans="2:8" ht="15.95" customHeight="1" x14ac:dyDescent="0.25">
      <c r="B30" s="2" t="s">
        <v>145</v>
      </c>
      <c r="C30" s="19">
        <v>0.59399999999999997</v>
      </c>
      <c r="D30" s="19">
        <v>1.1319999999999999</v>
      </c>
      <c r="E30" s="19">
        <v>0.97899999999999998</v>
      </c>
      <c r="F30" s="19">
        <v>1.6759999999999999</v>
      </c>
      <c r="G30" s="19">
        <v>2.4159999999999999</v>
      </c>
      <c r="H30" s="19">
        <v>2.2850000000000001</v>
      </c>
    </row>
    <row r="31" spans="2:8" ht="15.95" customHeight="1" x14ac:dyDescent="0.25">
      <c r="B31" s="14" t="s">
        <v>146</v>
      </c>
      <c r="C31" s="9">
        <v>577</v>
      </c>
      <c r="D31" s="9">
        <v>650</v>
      </c>
      <c r="E31" s="9">
        <v>834</v>
      </c>
      <c r="F31" s="9">
        <v>449</v>
      </c>
      <c r="G31" s="9">
        <v>544</v>
      </c>
      <c r="H31" s="9">
        <v>669</v>
      </c>
    </row>
    <row r="32" spans="2:8" ht="15.95" customHeight="1" x14ac:dyDescent="0.25"/>
  </sheetData>
  <mergeCells count="4">
    <mergeCell ref="B2:H2"/>
    <mergeCell ref="B14:H14"/>
    <mergeCell ref="B24:H24"/>
    <mergeCell ref="B4:H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40"/>
  <sheetViews>
    <sheetView showGridLines="0" topLeftCell="A22" workbookViewId="0">
      <selection activeCell="B38" sqref="B38:H38"/>
    </sheetView>
  </sheetViews>
  <sheetFormatPr defaultRowHeight="15" x14ac:dyDescent="0.25"/>
  <cols>
    <col min="1" max="1" width="2" customWidth="1"/>
    <col min="2" max="2" width="34" customWidth="1"/>
    <col min="3" max="8" width="12" customWidth="1"/>
    <col min="9" max="9" width="2" customWidth="1"/>
  </cols>
  <sheetData>
    <row r="2" spans="2:8" ht="26.1" customHeight="1" x14ac:dyDescent="0.25">
      <c r="B2" s="66" t="s">
        <v>218</v>
      </c>
      <c r="C2" s="58"/>
      <c r="D2" s="58"/>
      <c r="E2" s="58"/>
      <c r="F2" s="58"/>
      <c r="G2" s="58"/>
      <c r="H2" s="58"/>
    </row>
    <row r="3" spans="2:8" ht="27.95" customHeight="1" x14ac:dyDescent="0.25"/>
    <row r="4" spans="2:8" x14ac:dyDescent="0.25">
      <c r="B4" s="62" t="s">
        <v>94</v>
      </c>
      <c r="C4" s="58"/>
      <c r="D4" s="58"/>
      <c r="E4" s="58"/>
      <c r="F4" s="58"/>
      <c r="G4" s="58"/>
      <c r="H4" s="58"/>
    </row>
    <row r="5" spans="2:8" ht="21.95" customHeight="1" x14ac:dyDescent="0.25">
      <c r="B5" s="1" t="s">
        <v>147</v>
      </c>
      <c r="C5" s="1" t="s">
        <v>96</v>
      </c>
      <c r="D5" s="1" t="s">
        <v>97</v>
      </c>
      <c r="E5" s="1" t="s">
        <v>98</v>
      </c>
      <c r="F5" s="1" t="s">
        <v>99</v>
      </c>
      <c r="G5" s="1" t="s">
        <v>100</v>
      </c>
      <c r="H5" s="1" t="s">
        <v>101</v>
      </c>
    </row>
    <row r="6" spans="2:8" ht="33.950000000000003" customHeight="1" x14ac:dyDescent="0.25">
      <c r="B6" s="13" t="s">
        <v>148</v>
      </c>
      <c r="C6" s="4">
        <v>4300</v>
      </c>
      <c r="D6" s="4">
        <v>4600</v>
      </c>
      <c r="E6" s="4">
        <v>4823</v>
      </c>
      <c r="F6" s="4">
        <v>1970</v>
      </c>
      <c r="G6" s="4">
        <v>2100</v>
      </c>
      <c r="H6" s="4">
        <v>2412</v>
      </c>
    </row>
    <row r="7" spans="2:8" ht="15.95" customHeight="1" x14ac:dyDescent="0.25">
      <c r="B7" s="14" t="s">
        <v>149</v>
      </c>
      <c r="C7" s="9">
        <v>3400</v>
      </c>
      <c r="D7" s="9">
        <v>3500</v>
      </c>
      <c r="E7" s="9">
        <v>3987</v>
      </c>
      <c r="F7" s="9">
        <v>1370</v>
      </c>
      <c r="G7" s="9">
        <v>1486</v>
      </c>
      <c r="H7" s="9">
        <v>1896</v>
      </c>
    </row>
    <row r="8" spans="2:8" ht="15.95" customHeight="1" x14ac:dyDescent="0.25">
      <c r="B8" s="13" t="s">
        <v>150</v>
      </c>
      <c r="C8" s="4">
        <v>248</v>
      </c>
      <c r="D8" s="4">
        <v>312</v>
      </c>
      <c r="E8" s="4">
        <v>398</v>
      </c>
      <c r="F8" s="4">
        <v>148</v>
      </c>
      <c r="G8" s="4">
        <v>192</v>
      </c>
      <c r="H8" s="4">
        <v>248</v>
      </c>
    </row>
    <row r="9" spans="2:8" ht="15.95" customHeight="1" x14ac:dyDescent="0.25">
      <c r="B9" s="14" t="s">
        <v>151</v>
      </c>
      <c r="C9" s="9">
        <v>47.2</v>
      </c>
      <c r="D9" s="9">
        <v>92.4</v>
      </c>
      <c r="E9" s="9">
        <v>145.6</v>
      </c>
      <c r="F9" s="9">
        <v>27.2</v>
      </c>
      <c r="G9" s="9">
        <v>47.1</v>
      </c>
      <c r="H9" s="9">
        <v>72.25</v>
      </c>
    </row>
    <row r="10" spans="2:8" ht="15.95" customHeight="1" x14ac:dyDescent="0.25">
      <c r="B10" s="2" t="s">
        <v>152</v>
      </c>
      <c r="C10" s="20">
        <v>12.1</v>
      </c>
      <c r="D10" s="20">
        <v>12.4</v>
      </c>
      <c r="E10" s="20">
        <v>12.1</v>
      </c>
      <c r="F10" s="20">
        <v>9.8000000000000007</v>
      </c>
      <c r="G10" s="20">
        <v>10.1</v>
      </c>
      <c r="H10" s="20">
        <v>9.8000000000000007</v>
      </c>
    </row>
    <row r="11" spans="2:8" ht="15.95" customHeight="1" x14ac:dyDescent="0.25">
      <c r="B11" s="14" t="s">
        <v>153</v>
      </c>
      <c r="C11" s="21" t="s">
        <v>154</v>
      </c>
      <c r="D11" s="21" t="s">
        <v>155</v>
      </c>
      <c r="E11" s="21" t="s">
        <v>156</v>
      </c>
      <c r="F11" s="21" t="s">
        <v>157</v>
      </c>
      <c r="G11" s="21" t="s">
        <v>158</v>
      </c>
      <c r="H11" s="21" t="s">
        <v>159</v>
      </c>
    </row>
    <row r="12" spans="2:8" ht="15.95" customHeight="1" x14ac:dyDescent="0.25">
      <c r="B12" s="13" t="s">
        <v>160</v>
      </c>
      <c r="C12" s="22" t="s">
        <v>161</v>
      </c>
      <c r="D12" s="22" t="s">
        <v>162</v>
      </c>
      <c r="E12" s="22" t="s">
        <v>163</v>
      </c>
      <c r="F12" s="22" t="s">
        <v>164</v>
      </c>
      <c r="G12" s="22" t="s">
        <v>165</v>
      </c>
      <c r="H12" s="22" t="s">
        <v>166</v>
      </c>
    </row>
    <row r="13" spans="2:8" ht="15.95" customHeight="1" x14ac:dyDescent="0.25">
      <c r="B13" s="7" t="s">
        <v>167</v>
      </c>
      <c r="C13" s="23">
        <v>1.32</v>
      </c>
      <c r="D13" s="23">
        <v>0.83</v>
      </c>
      <c r="E13" s="23">
        <v>0.78</v>
      </c>
      <c r="F13" s="23">
        <v>1.91</v>
      </c>
      <c r="G13" s="23">
        <v>1.51</v>
      </c>
      <c r="H13" s="23">
        <v>1.9</v>
      </c>
    </row>
    <row r="14" spans="2:8" ht="15.95" customHeight="1" x14ac:dyDescent="0.25"/>
    <row r="15" spans="2:8" ht="14.1" customHeight="1" x14ac:dyDescent="0.25"/>
    <row r="16" spans="2:8" x14ac:dyDescent="0.25">
      <c r="B16" s="62" t="s">
        <v>113</v>
      </c>
      <c r="C16" s="58"/>
      <c r="D16" s="58"/>
      <c r="E16" s="58"/>
      <c r="F16" s="58"/>
      <c r="G16" s="58"/>
      <c r="H16" s="58"/>
    </row>
    <row r="17" spans="2:8" ht="24" x14ac:dyDescent="0.25">
      <c r="B17" s="1" t="s">
        <v>147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119</v>
      </c>
    </row>
    <row r="18" spans="2:8" ht="21.95" customHeight="1" x14ac:dyDescent="0.25">
      <c r="B18" s="13" t="s">
        <v>148</v>
      </c>
      <c r="C18" s="4">
        <v>412</v>
      </c>
      <c r="D18" s="4">
        <v>589</v>
      </c>
      <c r="E18" s="4">
        <v>748</v>
      </c>
      <c r="F18" s="4">
        <v>198</v>
      </c>
      <c r="G18" s="4">
        <v>247</v>
      </c>
      <c r="H18" s="4">
        <v>312</v>
      </c>
    </row>
    <row r="19" spans="2:8" ht="33.950000000000003" customHeight="1" x14ac:dyDescent="0.25">
      <c r="B19" s="14" t="s">
        <v>149</v>
      </c>
      <c r="C19" s="21" t="s">
        <v>23</v>
      </c>
      <c r="D19" s="21" t="s">
        <v>23</v>
      </c>
      <c r="E19" s="21" t="s">
        <v>23</v>
      </c>
      <c r="F19" s="21" t="s">
        <v>23</v>
      </c>
      <c r="G19" s="21" t="s">
        <v>23</v>
      </c>
      <c r="H19" s="21" t="s">
        <v>23</v>
      </c>
    </row>
    <row r="20" spans="2:8" ht="15.95" customHeight="1" x14ac:dyDescent="0.25">
      <c r="B20" s="13" t="s">
        <v>150</v>
      </c>
      <c r="C20" s="4">
        <v>168.4</v>
      </c>
      <c r="D20" s="4">
        <v>284.7</v>
      </c>
      <c r="E20" s="4">
        <v>398.2</v>
      </c>
      <c r="F20" s="4">
        <v>8.1999999999999993</v>
      </c>
      <c r="G20" s="4">
        <v>10.1</v>
      </c>
      <c r="H20" s="4">
        <v>12.4</v>
      </c>
    </row>
    <row r="21" spans="2:8" ht="15.95" customHeight="1" x14ac:dyDescent="0.25">
      <c r="B21" s="14" t="s">
        <v>151</v>
      </c>
      <c r="C21" s="9">
        <v>3.2</v>
      </c>
      <c r="D21" s="9">
        <v>4.7</v>
      </c>
      <c r="E21" s="9">
        <v>40.33</v>
      </c>
      <c r="F21" s="9">
        <v>1.2</v>
      </c>
      <c r="G21" s="9">
        <v>1.8</v>
      </c>
      <c r="H21" s="9">
        <v>2.4</v>
      </c>
    </row>
    <row r="22" spans="2:8" ht="15.95" customHeight="1" x14ac:dyDescent="0.25">
      <c r="B22" s="2" t="s">
        <v>152</v>
      </c>
      <c r="C22" s="20">
        <v>2.46</v>
      </c>
      <c r="D22" s="20">
        <v>3.95</v>
      </c>
      <c r="E22" s="20">
        <v>6.24</v>
      </c>
      <c r="F22" s="20">
        <v>7.0000000000000007E-2</v>
      </c>
      <c r="G22" s="20">
        <v>7.0000000000000007E-2</v>
      </c>
      <c r="H22" s="20">
        <v>0.08</v>
      </c>
    </row>
    <row r="23" spans="2:8" ht="15.95" customHeight="1" x14ac:dyDescent="0.25">
      <c r="B23" s="14" t="s">
        <v>153</v>
      </c>
      <c r="C23" s="21" t="s">
        <v>23</v>
      </c>
      <c r="D23" s="21" t="s">
        <v>23</v>
      </c>
      <c r="E23" s="21" t="s">
        <v>23</v>
      </c>
      <c r="F23" s="21" t="s">
        <v>23</v>
      </c>
      <c r="G23" s="21" t="s">
        <v>23</v>
      </c>
      <c r="H23" s="21" t="s">
        <v>23</v>
      </c>
    </row>
    <row r="24" spans="2:8" ht="15.95" customHeight="1" x14ac:dyDescent="0.25">
      <c r="B24" s="13" t="s">
        <v>160</v>
      </c>
      <c r="C24" s="22" t="s">
        <v>23</v>
      </c>
      <c r="D24" s="22" t="s">
        <v>23</v>
      </c>
      <c r="E24" s="22" t="s">
        <v>23</v>
      </c>
      <c r="F24" s="22" t="s">
        <v>23</v>
      </c>
      <c r="G24" s="22" t="s">
        <v>23</v>
      </c>
      <c r="H24" s="22" t="s">
        <v>23</v>
      </c>
    </row>
    <row r="25" spans="2:8" ht="15.95" customHeight="1" x14ac:dyDescent="0.25">
      <c r="B25" s="7" t="s">
        <v>167</v>
      </c>
      <c r="C25" s="23">
        <v>12.1</v>
      </c>
      <c r="D25" s="23">
        <v>35.299999999999997</v>
      </c>
      <c r="E25" s="23">
        <v>0.47</v>
      </c>
      <c r="F25" s="23">
        <v>20.100000000000001</v>
      </c>
      <c r="G25" s="23">
        <v>20.399999999999999</v>
      </c>
      <c r="H25" s="23">
        <v>56.9</v>
      </c>
    </row>
    <row r="26" spans="2:8" ht="15.95" customHeight="1" x14ac:dyDescent="0.25"/>
    <row r="27" spans="2:8" ht="14.1" customHeight="1" x14ac:dyDescent="0.25"/>
    <row r="28" spans="2:8" x14ac:dyDescent="0.25">
      <c r="B28" s="62" t="s">
        <v>126</v>
      </c>
      <c r="C28" s="58"/>
      <c r="D28" s="58"/>
      <c r="E28" s="58"/>
      <c r="F28" s="58"/>
      <c r="G28" s="58"/>
      <c r="H28" s="58"/>
    </row>
    <row r="29" spans="2:8" ht="24" x14ac:dyDescent="0.25">
      <c r="B29" s="1" t="s">
        <v>147</v>
      </c>
      <c r="C29" s="1" t="s">
        <v>127</v>
      </c>
      <c r="D29" s="1" t="s">
        <v>128</v>
      </c>
      <c r="E29" s="1" t="s">
        <v>129</v>
      </c>
      <c r="F29" s="1" t="s">
        <v>130</v>
      </c>
      <c r="G29" s="1" t="s">
        <v>131</v>
      </c>
      <c r="H29" s="1" t="s">
        <v>132</v>
      </c>
    </row>
    <row r="30" spans="2:8" ht="21.95" customHeight="1" x14ac:dyDescent="0.25">
      <c r="B30" s="13" t="s">
        <v>148</v>
      </c>
      <c r="C30" s="4">
        <v>38.4</v>
      </c>
      <c r="D30" s="4">
        <v>52.1</v>
      </c>
      <c r="E30" s="4">
        <v>68.2</v>
      </c>
      <c r="F30" s="4">
        <v>28.4</v>
      </c>
      <c r="G30" s="4">
        <v>36.200000000000003</v>
      </c>
      <c r="H30" s="4">
        <v>47.8</v>
      </c>
    </row>
    <row r="31" spans="2:8" ht="33.950000000000003" customHeight="1" x14ac:dyDescent="0.25">
      <c r="B31" s="14" t="s">
        <v>149</v>
      </c>
      <c r="C31" s="21" t="s">
        <v>23</v>
      </c>
      <c r="D31" s="21" t="s">
        <v>23</v>
      </c>
      <c r="E31" s="21" t="s">
        <v>23</v>
      </c>
      <c r="F31" s="21" t="s">
        <v>23</v>
      </c>
      <c r="G31" s="21" t="s">
        <v>23</v>
      </c>
      <c r="H31" s="21" t="s">
        <v>23</v>
      </c>
    </row>
    <row r="32" spans="2:8" ht="15.95" customHeight="1" x14ac:dyDescent="0.25">
      <c r="B32" s="13" t="s">
        <v>150</v>
      </c>
      <c r="C32" s="4">
        <v>12.1</v>
      </c>
      <c r="D32" s="4">
        <v>18.399999999999999</v>
      </c>
      <c r="E32" s="4">
        <v>15.2</v>
      </c>
      <c r="F32" s="4">
        <v>8.4</v>
      </c>
      <c r="G32" s="4">
        <v>12.8</v>
      </c>
      <c r="H32" s="4">
        <v>15.7</v>
      </c>
    </row>
    <row r="33" spans="2:8" ht="15.95" customHeight="1" x14ac:dyDescent="0.25">
      <c r="B33" s="14" t="s">
        <v>151</v>
      </c>
      <c r="C33" s="9">
        <v>1.2</v>
      </c>
      <c r="D33" s="9">
        <v>3.8</v>
      </c>
      <c r="E33" s="9">
        <v>4.8</v>
      </c>
      <c r="F33" s="9">
        <v>0.14000000000000001</v>
      </c>
      <c r="G33" s="9">
        <v>0.14000000000000001</v>
      </c>
      <c r="H33" s="9">
        <v>0.12</v>
      </c>
    </row>
    <row r="34" spans="2:8" ht="15.95" customHeight="1" x14ac:dyDescent="0.25">
      <c r="B34" s="2" t="s">
        <v>152</v>
      </c>
      <c r="C34" s="20">
        <v>0.82</v>
      </c>
      <c r="D34" s="20">
        <v>1.08</v>
      </c>
      <c r="E34" s="20">
        <v>0.82</v>
      </c>
      <c r="F34" s="20">
        <v>2.21</v>
      </c>
      <c r="G34" s="20">
        <v>3.05</v>
      </c>
      <c r="H34" s="20">
        <v>3.41</v>
      </c>
    </row>
    <row r="35" spans="2:8" ht="15.95" customHeight="1" x14ac:dyDescent="0.25">
      <c r="B35" s="14" t="s">
        <v>153</v>
      </c>
      <c r="C35" s="21" t="s">
        <v>23</v>
      </c>
      <c r="D35" s="21" t="s">
        <v>23</v>
      </c>
      <c r="E35" s="21" t="s">
        <v>23</v>
      </c>
      <c r="F35" s="21" t="s">
        <v>23</v>
      </c>
      <c r="G35" s="21" t="s">
        <v>23</v>
      </c>
      <c r="H35" s="21" t="s">
        <v>23</v>
      </c>
    </row>
    <row r="36" spans="2:8" ht="15.95" customHeight="1" x14ac:dyDescent="0.25">
      <c r="B36" s="13" t="s">
        <v>160</v>
      </c>
      <c r="C36" s="22" t="s">
        <v>23</v>
      </c>
      <c r="D36" s="22" t="s">
        <v>23</v>
      </c>
      <c r="E36" s="22" t="s">
        <v>23</v>
      </c>
      <c r="F36" s="22" t="s">
        <v>23</v>
      </c>
      <c r="G36" s="22" t="s">
        <v>23</v>
      </c>
      <c r="H36" s="22" t="s">
        <v>23</v>
      </c>
    </row>
    <row r="37" spans="2:8" ht="15.95" customHeight="1" x14ac:dyDescent="0.25">
      <c r="B37" s="7" t="s">
        <v>167</v>
      </c>
      <c r="C37" s="23">
        <v>7.9</v>
      </c>
      <c r="D37" s="23">
        <v>5.7</v>
      </c>
      <c r="E37" s="23">
        <v>6.2</v>
      </c>
      <c r="F37" s="23">
        <v>49.1</v>
      </c>
      <c r="G37" s="23">
        <v>58.3</v>
      </c>
      <c r="H37" s="23">
        <v>86.5</v>
      </c>
    </row>
    <row r="38" spans="2:8" ht="15.95" customHeight="1" x14ac:dyDescent="0.25"/>
    <row r="39" spans="2:8" ht="15.95" customHeight="1" x14ac:dyDescent="0.25"/>
    <row r="40" spans="2:8" ht="14.1" customHeight="1" x14ac:dyDescent="0.25"/>
  </sheetData>
  <mergeCells count="4">
    <mergeCell ref="B16:H16"/>
    <mergeCell ref="B28:H28"/>
    <mergeCell ref="B2:H2"/>
    <mergeCell ref="B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showGridLines="0" workbookViewId="0">
      <selection activeCell="G20" sqref="G20"/>
    </sheetView>
  </sheetViews>
  <sheetFormatPr defaultRowHeight="15" x14ac:dyDescent="0.25"/>
  <cols>
    <col min="1" max="1" width="2" customWidth="1"/>
    <col min="2" max="2" width="32" customWidth="1"/>
    <col min="3" max="5" width="10" customWidth="1"/>
    <col min="6" max="6" width="14" customWidth="1"/>
    <col min="7" max="7" width="34" customWidth="1"/>
    <col min="8" max="8" width="2" customWidth="1"/>
  </cols>
  <sheetData>
    <row r="2" spans="2:7" ht="26.1" customHeight="1" x14ac:dyDescent="0.25">
      <c r="B2" s="66" t="s">
        <v>219</v>
      </c>
      <c r="C2" s="58"/>
      <c r="D2" s="58"/>
      <c r="E2" s="58"/>
      <c r="F2" s="58"/>
      <c r="G2" s="58"/>
    </row>
    <row r="3" spans="2:7" ht="33.950000000000003" customHeight="1" x14ac:dyDescent="0.25">
      <c r="B3" s="1" t="s">
        <v>168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</row>
    <row r="4" spans="2:7" ht="26.1" customHeight="1" x14ac:dyDescent="0.25">
      <c r="B4" s="24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25" t="s">
        <v>52</v>
      </c>
    </row>
    <row r="5" spans="2:7" ht="26.1" customHeight="1" x14ac:dyDescent="0.25">
      <c r="B5" s="26" t="s">
        <v>53</v>
      </c>
      <c r="C5" s="10" t="s">
        <v>54</v>
      </c>
      <c r="D5" s="10" t="s">
        <v>55</v>
      </c>
      <c r="E5" s="10" t="s">
        <v>56</v>
      </c>
      <c r="F5" s="10" t="s">
        <v>51</v>
      </c>
      <c r="G5" s="27" t="s">
        <v>57</v>
      </c>
    </row>
    <row r="6" spans="2:7" ht="26.1" customHeight="1" x14ac:dyDescent="0.25">
      <c r="B6" s="24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25" t="s">
        <v>63</v>
      </c>
    </row>
    <row r="7" spans="2:7" ht="26.1" customHeight="1" x14ac:dyDescent="0.25">
      <c r="B7" s="26" t="s">
        <v>64</v>
      </c>
      <c r="C7" s="10" t="s">
        <v>65</v>
      </c>
      <c r="D7" s="10" t="s">
        <v>66</v>
      </c>
      <c r="E7" s="10" t="s">
        <v>67</v>
      </c>
      <c r="F7" s="10" t="s">
        <v>68</v>
      </c>
      <c r="G7" s="27" t="s">
        <v>69</v>
      </c>
    </row>
    <row r="8" spans="2:7" ht="26.1" customHeight="1" x14ac:dyDescent="0.25">
      <c r="B8" s="24" t="s">
        <v>70</v>
      </c>
      <c r="C8" s="5" t="s">
        <v>71</v>
      </c>
      <c r="D8" s="5" t="s">
        <v>72</v>
      </c>
      <c r="E8" s="5" t="s">
        <v>73</v>
      </c>
      <c r="F8" s="5" t="s">
        <v>74</v>
      </c>
      <c r="G8" s="25" t="s">
        <v>75</v>
      </c>
    </row>
    <row r="9" spans="2:7" ht="26.1" customHeight="1" x14ac:dyDescent="0.25">
      <c r="B9" s="26" t="s">
        <v>76</v>
      </c>
      <c r="C9" s="10" t="s">
        <v>77</v>
      </c>
      <c r="D9" s="10" t="s">
        <v>78</v>
      </c>
      <c r="E9" s="10" t="s">
        <v>79</v>
      </c>
      <c r="F9" s="10" t="s">
        <v>80</v>
      </c>
      <c r="G9" s="27" t="s">
        <v>81</v>
      </c>
    </row>
    <row r="10" spans="2:7" ht="26.1" customHeight="1" x14ac:dyDescent="0.25">
      <c r="B10" s="24" t="s">
        <v>82</v>
      </c>
      <c r="C10" s="5" t="s">
        <v>83</v>
      </c>
      <c r="D10" s="5" t="s">
        <v>84</v>
      </c>
      <c r="E10" s="5" t="s">
        <v>85</v>
      </c>
      <c r="F10" s="5" t="s">
        <v>86</v>
      </c>
      <c r="G10" s="25" t="s">
        <v>87</v>
      </c>
    </row>
    <row r="11" spans="2:7" ht="26.1" customHeight="1" x14ac:dyDescent="0.25">
      <c r="B11" s="26" t="s">
        <v>88</v>
      </c>
      <c r="C11" s="10" t="s">
        <v>89</v>
      </c>
      <c r="D11" s="10" t="s">
        <v>90</v>
      </c>
      <c r="E11" s="10" t="s">
        <v>91</v>
      </c>
      <c r="F11" s="10" t="s">
        <v>92</v>
      </c>
      <c r="G11" s="27" t="s">
        <v>93</v>
      </c>
    </row>
    <row r="13" spans="2:7" ht="21.95" customHeight="1" x14ac:dyDescent="0.25">
      <c r="B13" s="62" t="s">
        <v>169</v>
      </c>
      <c r="C13" s="58"/>
      <c r="D13" s="58"/>
      <c r="E13" s="58"/>
      <c r="F13" s="58"/>
      <c r="G13" s="58"/>
    </row>
    <row r="14" spans="2:7" ht="33.950000000000003" customHeight="1" x14ac:dyDescent="0.25">
      <c r="B14" s="1" t="s">
        <v>170</v>
      </c>
      <c r="C14" s="1" t="s">
        <v>11</v>
      </c>
      <c r="D14" s="1" t="s">
        <v>27</v>
      </c>
      <c r="E14" s="1" t="s">
        <v>21</v>
      </c>
      <c r="F14" s="1" t="s">
        <v>32</v>
      </c>
      <c r="G14" s="1" t="s">
        <v>171</v>
      </c>
    </row>
    <row r="15" spans="2:7" ht="18" customHeight="1" x14ac:dyDescent="0.25">
      <c r="B15" s="13" t="s">
        <v>172</v>
      </c>
      <c r="C15" s="28" t="s">
        <v>173</v>
      </c>
      <c r="D15" s="29" t="s">
        <v>174</v>
      </c>
      <c r="E15" s="30" t="s">
        <v>175</v>
      </c>
      <c r="F15" s="30" t="s">
        <v>175</v>
      </c>
      <c r="G15" s="29" t="s">
        <v>11</v>
      </c>
    </row>
    <row r="16" spans="2:7" ht="18" customHeight="1" x14ac:dyDescent="0.25">
      <c r="B16" s="14" t="s">
        <v>176</v>
      </c>
      <c r="C16" s="29" t="s">
        <v>177</v>
      </c>
      <c r="D16" s="29" t="s">
        <v>174</v>
      </c>
      <c r="E16" s="30" t="s">
        <v>175</v>
      </c>
      <c r="F16" s="30" t="s">
        <v>178</v>
      </c>
      <c r="G16" s="29" t="s">
        <v>11</v>
      </c>
    </row>
    <row r="17" spans="2:7" ht="18" customHeight="1" x14ac:dyDescent="0.25">
      <c r="B17" s="13" t="s">
        <v>179</v>
      </c>
      <c r="C17" s="29" t="s">
        <v>180</v>
      </c>
      <c r="D17" s="29" t="s">
        <v>174</v>
      </c>
      <c r="E17" s="30" t="s">
        <v>178</v>
      </c>
      <c r="F17" s="30" t="s">
        <v>178</v>
      </c>
      <c r="G17" s="29" t="s">
        <v>11</v>
      </c>
    </row>
    <row r="18" spans="2:7" ht="18" customHeight="1" x14ac:dyDescent="0.25">
      <c r="B18" s="14" t="s">
        <v>181</v>
      </c>
      <c r="C18" s="29" t="s">
        <v>174</v>
      </c>
      <c r="D18" s="28" t="s">
        <v>173</v>
      </c>
      <c r="E18" s="29" t="s">
        <v>182</v>
      </c>
      <c r="F18" s="30" t="s">
        <v>175</v>
      </c>
      <c r="G18" s="29" t="s">
        <v>27</v>
      </c>
    </row>
    <row r="19" spans="2:7" ht="18" customHeight="1" x14ac:dyDescent="0.25">
      <c r="B19" s="13" t="s">
        <v>183</v>
      </c>
      <c r="C19" s="29" t="s">
        <v>184</v>
      </c>
      <c r="D19" s="29" t="s">
        <v>185</v>
      </c>
      <c r="E19" s="29" t="s">
        <v>185</v>
      </c>
      <c r="F19" s="30" t="s">
        <v>175</v>
      </c>
      <c r="G19" s="29" t="s">
        <v>11</v>
      </c>
    </row>
    <row r="20" spans="2:7" ht="18" customHeight="1" x14ac:dyDescent="0.25">
      <c r="B20" s="36" t="s">
        <v>186</v>
      </c>
      <c r="C20" s="37" t="s">
        <v>187</v>
      </c>
      <c r="D20" s="37" t="s">
        <v>187</v>
      </c>
      <c r="E20" s="38" t="s">
        <v>188</v>
      </c>
      <c r="F20" s="38" t="s">
        <v>189</v>
      </c>
      <c r="G20" s="39" t="s">
        <v>11</v>
      </c>
    </row>
  </sheetData>
  <mergeCells count="2">
    <mergeCell ref="B2:G2"/>
    <mergeCell ref="B13:G13"/>
  </mergeCells>
  <phoneticPr fontId="12" type="noConversion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1"/>
  <sheetViews>
    <sheetView showGridLines="0" workbookViewId="0">
      <selection activeCell="H10" sqref="H10"/>
    </sheetView>
  </sheetViews>
  <sheetFormatPr defaultRowHeight="15" x14ac:dyDescent="0.25"/>
  <cols>
    <col min="1" max="1" width="2" customWidth="1"/>
    <col min="2" max="2" width="30" customWidth="1"/>
    <col min="3" max="8" width="12" customWidth="1"/>
    <col min="9" max="9" width="2" customWidth="1"/>
  </cols>
  <sheetData>
    <row r="2" spans="2:8" ht="26.1" customHeight="1" x14ac:dyDescent="0.25">
      <c r="B2" s="66" t="s">
        <v>220</v>
      </c>
      <c r="C2" s="58"/>
      <c r="D2" s="58"/>
      <c r="E2" s="58"/>
      <c r="F2" s="58"/>
      <c r="G2" s="58"/>
      <c r="H2" s="58"/>
    </row>
    <row r="3" spans="2:8" ht="33.950000000000003" customHeight="1" x14ac:dyDescent="0.25">
      <c r="B3" s="1" t="s">
        <v>190</v>
      </c>
      <c r="C3" s="1" t="s">
        <v>10</v>
      </c>
      <c r="D3" s="1" t="s">
        <v>16</v>
      </c>
      <c r="E3" s="1" t="s">
        <v>20</v>
      </c>
      <c r="F3" s="1" t="s">
        <v>26</v>
      </c>
      <c r="G3" s="1" t="s">
        <v>31</v>
      </c>
      <c r="H3" s="1" t="s">
        <v>37</v>
      </c>
    </row>
    <row r="4" spans="2:8" ht="15.95" customHeight="1" x14ac:dyDescent="0.25">
      <c r="B4" s="13" t="s">
        <v>191</v>
      </c>
      <c r="C4" s="22" t="s">
        <v>192</v>
      </c>
      <c r="D4" s="22" t="s">
        <v>193</v>
      </c>
      <c r="E4" s="22" t="s">
        <v>73</v>
      </c>
      <c r="F4" s="22" t="s">
        <v>194</v>
      </c>
      <c r="G4" s="22" t="s">
        <v>195</v>
      </c>
      <c r="H4" s="22" t="s">
        <v>50</v>
      </c>
    </row>
    <row r="5" spans="2:8" ht="15.95" customHeight="1" x14ac:dyDescent="0.25">
      <c r="B5" s="14" t="s">
        <v>196</v>
      </c>
      <c r="C5" s="21" t="s">
        <v>12</v>
      </c>
      <c r="D5" s="21" t="s">
        <v>17</v>
      </c>
      <c r="E5" s="21" t="s">
        <v>22</v>
      </c>
      <c r="F5" s="21" t="s">
        <v>28</v>
      </c>
      <c r="G5" s="21" t="s">
        <v>33</v>
      </c>
      <c r="H5" s="21" t="s">
        <v>38</v>
      </c>
    </row>
    <row r="6" spans="2:8" ht="15.95" customHeight="1" x14ac:dyDescent="0.25">
      <c r="B6" s="13" t="s">
        <v>139</v>
      </c>
      <c r="C6" s="22" t="s">
        <v>13</v>
      </c>
      <c r="D6" s="22" t="s">
        <v>18</v>
      </c>
      <c r="E6" s="22" t="s">
        <v>23</v>
      </c>
      <c r="F6" s="22" t="s">
        <v>29</v>
      </c>
      <c r="G6" s="22" t="s">
        <v>34</v>
      </c>
      <c r="H6" s="22" t="s">
        <v>39</v>
      </c>
    </row>
    <row r="7" spans="2:8" ht="15.95" customHeight="1" x14ac:dyDescent="0.25">
      <c r="B7" s="14" t="s">
        <v>152</v>
      </c>
      <c r="C7" s="31">
        <v>12.1</v>
      </c>
      <c r="D7" s="31">
        <v>9.8000000000000007</v>
      </c>
      <c r="E7" s="31">
        <v>6.24</v>
      </c>
      <c r="F7" s="31">
        <v>0.08</v>
      </c>
      <c r="G7" s="31">
        <v>0.82</v>
      </c>
      <c r="H7" s="31">
        <v>3.41</v>
      </c>
    </row>
    <row r="8" spans="2:8" ht="15.95" customHeight="1" x14ac:dyDescent="0.25">
      <c r="B8" s="13" t="s">
        <v>167</v>
      </c>
      <c r="C8" s="32">
        <v>0.78</v>
      </c>
      <c r="D8" s="32">
        <v>1.9</v>
      </c>
      <c r="E8" s="32">
        <v>0.47</v>
      </c>
      <c r="F8" s="32">
        <v>56.9</v>
      </c>
      <c r="G8" s="32">
        <v>6.2</v>
      </c>
      <c r="H8" s="32">
        <v>86.5</v>
      </c>
    </row>
    <row r="9" spans="2:8" ht="15.95" customHeight="1" x14ac:dyDescent="0.25">
      <c r="B9" s="14" t="s">
        <v>144</v>
      </c>
      <c r="C9" s="33">
        <v>15</v>
      </c>
      <c r="D9" s="33">
        <v>30</v>
      </c>
      <c r="E9" s="33">
        <v>7.5</v>
      </c>
      <c r="F9" s="33">
        <v>1.5</v>
      </c>
      <c r="G9" s="33">
        <v>193</v>
      </c>
      <c r="H9" s="33">
        <v>429</v>
      </c>
    </row>
    <row r="10" spans="2:8" ht="15.95" customHeight="1" x14ac:dyDescent="0.25">
      <c r="B10" s="13" t="s">
        <v>197</v>
      </c>
      <c r="C10" s="22" t="s">
        <v>198</v>
      </c>
      <c r="D10" s="22" t="s">
        <v>199</v>
      </c>
      <c r="E10" s="22" t="s">
        <v>200</v>
      </c>
      <c r="F10" s="22" t="s">
        <v>201</v>
      </c>
      <c r="G10" s="22" t="s">
        <v>202</v>
      </c>
      <c r="H10" s="22" t="s">
        <v>203</v>
      </c>
    </row>
    <row r="11" spans="2:8" ht="15.95" customHeight="1" x14ac:dyDescent="0.25">
      <c r="B11" s="7" t="s">
        <v>204</v>
      </c>
      <c r="C11" s="34">
        <v>57.8</v>
      </c>
      <c r="D11" s="34">
        <v>65.27</v>
      </c>
      <c r="E11" s="34">
        <v>9.82</v>
      </c>
      <c r="F11" s="34">
        <v>97.22</v>
      </c>
      <c r="G11" s="34">
        <v>16.5</v>
      </c>
      <c r="H11" s="34">
        <v>9.74</v>
      </c>
    </row>
    <row r="12" spans="2:8" ht="15.95" customHeight="1" x14ac:dyDescent="0.25">
      <c r="B12" s="2" t="s">
        <v>205</v>
      </c>
      <c r="C12" s="35">
        <v>284.3</v>
      </c>
      <c r="D12" s="35">
        <v>200.82</v>
      </c>
      <c r="E12" s="35">
        <v>3540</v>
      </c>
      <c r="F12" s="35">
        <v>288.05</v>
      </c>
      <c r="G12" s="35">
        <v>200.6</v>
      </c>
      <c r="H12" s="35">
        <v>34.590000000000003</v>
      </c>
    </row>
    <row r="14" spans="2:8" ht="21.95" customHeight="1" x14ac:dyDescent="0.25">
      <c r="B14" s="62" t="s">
        <v>215</v>
      </c>
      <c r="C14" s="58"/>
      <c r="D14" s="58"/>
      <c r="E14" s="58"/>
      <c r="F14" s="58"/>
      <c r="G14" s="58"/>
      <c r="H14" s="58"/>
    </row>
    <row r="15" spans="2:8" ht="33.950000000000003" customHeight="1" x14ac:dyDescent="0.25">
      <c r="B15" s="1" t="s">
        <v>0</v>
      </c>
      <c r="C15" s="1" t="s">
        <v>1</v>
      </c>
      <c r="D15" s="1" t="s">
        <v>8</v>
      </c>
      <c r="E15" s="59" t="s">
        <v>206</v>
      </c>
      <c r="F15" s="60"/>
      <c r="G15" s="60"/>
      <c r="H15" s="61"/>
    </row>
    <row r="16" spans="2:8" ht="33.950000000000003" customHeight="1" x14ac:dyDescent="0.25">
      <c r="B16" s="2" t="s">
        <v>10</v>
      </c>
      <c r="C16" s="3" t="s">
        <v>11</v>
      </c>
      <c r="D16" s="6" t="s">
        <v>15</v>
      </c>
      <c r="E16" s="63" t="s">
        <v>207</v>
      </c>
      <c r="F16" s="58"/>
      <c r="G16" s="58"/>
      <c r="H16" s="58"/>
    </row>
    <row r="17" spans="2:8" ht="33.950000000000003" customHeight="1" x14ac:dyDescent="0.25">
      <c r="B17" s="7" t="s">
        <v>16</v>
      </c>
      <c r="C17" s="8" t="s">
        <v>11</v>
      </c>
      <c r="D17" s="6" t="s">
        <v>15</v>
      </c>
      <c r="E17" s="57" t="s">
        <v>208</v>
      </c>
      <c r="F17" s="58"/>
      <c r="G17" s="58"/>
      <c r="H17" s="58"/>
    </row>
    <row r="18" spans="2:8" ht="33.950000000000003" customHeight="1" x14ac:dyDescent="0.25">
      <c r="B18" s="2" t="s">
        <v>20</v>
      </c>
      <c r="C18" s="3" t="s">
        <v>21</v>
      </c>
      <c r="D18" s="11" t="s">
        <v>25</v>
      </c>
      <c r="E18" s="63" t="s">
        <v>209</v>
      </c>
      <c r="F18" s="58"/>
      <c r="G18" s="58"/>
      <c r="H18" s="58"/>
    </row>
    <row r="19" spans="2:8" ht="33.950000000000003" customHeight="1" x14ac:dyDescent="0.25">
      <c r="B19" s="7" t="s">
        <v>26</v>
      </c>
      <c r="C19" s="8" t="s">
        <v>27</v>
      </c>
      <c r="D19" s="6" t="s">
        <v>15</v>
      </c>
      <c r="E19" s="57" t="s">
        <v>210</v>
      </c>
      <c r="F19" s="58"/>
      <c r="G19" s="58"/>
      <c r="H19" s="58"/>
    </row>
    <row r="20" spans="2:8" ht="33.950000000000003" customHeight="1" x14ac:dyDescent="0.25">
      <c r="B20" s="2" t="s">
        <v>31</v>
      </c>
      <c r="C20" s="3" t="s">
        <v>32</v>
      </c>
      <c r="D20" s="12" t="s">
        <v>36</v>
      </c>
      <c r="E20" s="63" t="s">
        <v>211</v>
      </c>
      <c r="F20" s="58"/>
      <c r="G20" s="58"/>
      <c r="H20" s="58"/>
    </row>
    <row r="21" spans="2:8" ht="33.950000000000003" customHeight="1" x14ac:dyDescent="0.25">
      <c r="B21" s="7" t="s">
        <v>212</v>
      </c>
      <c r="C21" s="8" t="s">
        <v>32</v>
      </c>
      <c r="D21" s="12" t="s">
        <v>36</v>
      </c>
      <c r="E21" s="57" t="s">
        <v>216</v>
      </c>
      <c r="F21" s="58"/>
      <c r="G21" s="58"/>
      <c r="H21" s="58"/>
    </row>
  </sheetData>
  <mergeCells count="9">
    <mergeCell ref="E20:H20"/>
    <mergeCell ref="E21:H21"/>
    <mergeCell ref="E16:H16"/>
    <mergeCell ref="E15:H15"/>
    <mergeCell ref="B2:H2"/>
    <mergeCell ref="E19:H19"/>
    <mergeCell ref="B14:H14"/>
    <mergeCell ref="E17:H17"/>
    <mergeCell ref="E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F02E-328D-4860-908D-27E8324B87F7}">
  <dimension ref="A1:P21"/>
  <sheetViews>
    <sheetView workbookViewId="0">
      <selection activeCell="E1" sqref="E1"/>
    </sheetView>
  </sheetViews>
  <sheetFormatPr defaultRowHeight="15" x14ac:dyDescent="0.25"/>
  <cols>
    <col min="1" max="1" width="11.42578125" style="43" customWidth="1"/>
    <col min="2" max="2" width="8.7109375" style="42" customWidth="1"/>
    <col min="3" max="3" width="7.140625" style="42" customWidth="1"/>
    <col min="4" max="4" width="11" style="42" customWidth="1"/>
    <col min="5" max="5" width="13.5703125" style="42" customWidth="1"/>
    <col min="6" max="6" width="18.28515625" style="42" customWidth="1"/>
    <col min="7" max="7" width="6.5703125" style="42" customWidth="1"/>
    <col min="8" max="8" width="8.140625" style="42" bestFit="1" customWidth="1"/>
    <col min="9" max="9" width="6.7109375" style="45" customWidth="1"/>
    <col min="10" max="10" width="13.140625" style="45" customWidth="1"/>
    <col min="11" max="11" width="6.7109375" style="42" customWidth="1"/>
    <col min="12" max="12" width="10.140625" style="47" customWidth="1"/>
    <col min="13" max="13" width="13.85546875" style="47" customWidth="1"/>
    <col min="14" max="14" width="18.85546875" style="47" customWidth="1"/>
    <col min="15" max="15" width="17" style="42" customWidth="1"/>
    <col min="16" max="16" width="10.7109375" style="42" customWidth="1"/>
    <col min="17" max="16384" width="9.140625" style="42"/>
  </cols>
  <sheetData>
    <row r="1" spans="1:16" s="43" customFormat="1" x14ac:dyDescent="0.25"/>
    <row r="2" spans="1:16" ht="20.25" x14ac:dyDescent="0.3">
      <c r="A2" s="52" t="s">
        <v>245</v>
      </c>
    </row>
    <row r="3" spans="1:16" ht="35.25" thickBot="1" x14ac:dyDescent="0.3">
      <c r="A3" s="53" t="s">
        <v>0</v>
      </c>
      <c r="B3" s="54" t="s">
        <v>1</v>
      </c>
      <c r="C3" s="54" t="s">
        <v>230</v>
      </c>
      <c r="D3" s="54" t="s">
        <v>231</v>
      </c>
      <c r="E3" s="54" t="s">
        <v>122</v>
      </c>
      <c r="F3" s="54" t="s">
        <v>243</v>
      </c>
      <c r="G3" s="54" t="s">
        <v>232</v>
      </c>
      <c r="H3" s="54" t="s">
        <v>233</v>
      </c>
      <c r="I3" s="55" t="s">
        <v>234</v>
      </c>
      <c r="J3" s="55" t="s">
        <v>235</v>
      </c>
      <c r="K3" s="54" t="s">
        <v>236</v>
      </c>
      <c r="L3" s="56" t="s">
        <v>237</v>
      </c>
      <c r="M3" s="56" t="s">
        <v>238</v>
      </c>
      <c r="N3" s="56" t="s">
        <v>239</v>
      </c>
      <c r="O3" s="54" t="s">
        <v>240</v>
      </c>
      <c r="P3" s="54" t="s">
        <v>8</v>
      </c>
    </row>
    <row r="4" spans="1:16" ht="15.75" thickTop="1" x14ac:dyDescent="0.25">
      <c r="A4" s="50" t="s">
        <v>10</v>
      </c>
      <c r="B4" s="48" t="s">
        <v>11</v>
      </c>
      <c r="C4" s="48">
        <v>2021</v>
      </c>
      <c r="D4" s="48">
        <v>109.9</v>
      </c>
      <c r="E4" s="48">
        <v>62.7</v>
      </c>
      <c r="F4" s="48" t="s">
        <v>244</v>
      </c>
      <c r="G4" s="48">
        <v>35.5</v>
      </c>
      <c r="H4" s="48">
        <v>23.88</v>
      </c>
      <c r="I4" s="44">
        <v>0.32600000000000001</v>
      </c>
      <c r="J4" s="44">
        <v>0.32300000000000001</v>
      </c>
      <c r="K4" s="48">
        <v>45.2</v>
      </c>
      <c r="L4" s="46">
        <v>1.27</v>
      </c>
      <c r="M4" s="46">
        <v>12.1</v>
      </c>
      <c r="N4" s="46">
        <v>1.32</v>
      </c>
      <c r="O4" s="48">
        <v>6.5</v>
      </c>
      <c r="P4" s="48" t="s">
        <v>15</v>
      </c>
    </row>
    <row r="5" spans="1:16" x14ac:dyDescent="0.25">
      <c r="A5" s="50" t="s">
        <v>10</v>
      </c>
      <c r="B5" s="48" t="s">
        <v>11</v>
      </c>
      <c r="C5" s="48">
        <v>2022</v>
      </c>
      <c r="D5" s="48">
        <v>212</v>
      </c>
      <c r="E5" s="48">
        <v>119.6</v>
      </c>
      <c r="F5" s="48" t="s">
        <v>244</v>
      </c>
      <c r="G5" s="48">
        <v>34.4</v>
      </c>
      <c r="H5" s="48">
        <v>23.23</v>
      </c>
      <c r="I5" s="44">
        <v>0.28899999999999998</v>
      </c>
      <c r="J5" s="44">
        <v>0.16200000000000001</v>
      </c>
      <c r="K5" s="48">
        <v>72.8</v>
      </c>
      <c r="L5" s="46">
        <v>2.12</v>
      </c>
      <c r="M5" s="46">
        <v>12.4</v>
      </c>
      <c r="N5" s="46">
        <v>0.83</v>
      </c>
      <c r="O5" s="48">
        <v>6.5</v>
      </c>
      <c r="P5" s="48" t="s">
        <v>15</v>
      </c>
    </row>
    <row r="6" spans="1:16" x14ac:dyDescent="0.25">
      <c r="A6" s="50" t="s">
        <v>10</v>
      </c>
      <c r="B6" s="48" t="s">
        <v>11</v>
      </c>
      <c r="C6" s="48">
        <v>2023</v>
      </c>
      <c r="D6" s="48">
        <v>284.3</v>
      </c>
      <c r="E6" s="48">
        <v>138.69999999999999</v>
      </c>
      <c r="F6" s="48" t="s">
        <v>244</v>
      </c>
      <c r="G6" s="48">
        <v>57.8</v>
      </c>
      <c r="H6" s="48">
        <v>39.32</v>
      </c>
      <c r="I6" s="44">
        <v>0.379</v>
      </c>
      <c r="J6" s="44">
        <v>0.20300000000000001</v>
      </c>
      <c r="K6" s="48">
        <v>118.4</v>
      </c>
      <c r="L6" s="46">
        <v>2.0499999999999998</v>
      </c>
      <c r="M6" s="46">
        <v>12.1</v>
      </c>
      <c r="N6" s="46">
        <v>0.78</v>
      </c>
      <c r="O6" s="48">
        <v>15</v>
      </c>
      <c r="P6" s="48" t="s">
        <v>15</v>
      </c>
    </row>
    <row r="7" spans="1:16" x14ac:dyDescent="0.25">
      <c r="A7" s="50" t="s">
        <v>16</v>
      </c>
      <c r="B7" s="48" t="s">
        <v>11</v>
      </c>
      <c r="C7" s="48">
        <v>2021</v>
      </c>
      <c r="D7" s="48">
        <v>84</v>
      </c>
      <c r="E7" s="48">
        <v>56.8</v>
      </c>
      <c r="F7" s="48" t="s">
        <v>244</v>
      </c>
      <c r="G7" s="48">
        <v>30.81</v>
      </c>
      <c r="H7" s="48">
        <v>26</v>
      </c>
      <c r="I7" s="44">
        <v>0.39800000000000002</v>
      </c>
      <c r="J7" s="44">
        <v>0.36699999999999999</v>
      </c>
      <c r="K7" s="48">
        <v>28.1</v>
      </c>
      <c r="L7" s="46">
        <v>0.91</v>
      </c>
      <c r="M7" s="46">
        <v>9.8000000000000007</v>
      </c>
      <c r="N7" s="46">
        <v>1.91</v>
      </c>
      <c r="O7" s="48">
        <v>19</v>
      </c>
      <c r="P7" s="48" t="s">
        <v>15</v>
      </c>
    </row>
    <row r="8" spans="1:16" x14ac:dyDescent="0.25">
      <c r="A8" s="50" t="s">
        <v>16</v>
      </c>
      <c r="B8" s="48" t="s">
        <v>11</v>
      </c>
      <c r="C8" s="48">
        <v>2022</v>
      </c>
      <c r="D8" s="48">
        <v>112.7</v>
      </c>
      <c r="E8" s="48">
        <v>65.599999999999994</v>
      </c>
      <c r="F8" s="48" t="s">
        <v>244</v>
      </c>
      <c r="G8" s="48">
        <v>32.700000000000003</v>
      </c>
      <c r="H8" s="48">
        <v>27.63</v>
      </c>
      <c r="I8" s="44">
        <v>0.35899999999999999</v>
      </c>
      <c r="J8" s="44">
        <v>0.28999999999999998</v>
      </c>
      <c r="K8" s="48">
        <v>47.3</v>
      </c>
      <c r="L8" s="46">
        <v>1.45</v>
      </c>
      <c r="M8" s="46">
        <v>10.1</v>
      </c>
      <c r="N8" s="46">
        <v>1.51</v>
      </c>
      <c r="O8" s="48">
        <v>22</v>
      </c>
      <c r="P8" s="48" t="s">
        <v>15</v>
      </c>
    </row>
    <row r="9" spans="1:16" x14ac:dyDescent="0.25">
      <c r="A9" s="50" t="s">
        <v>16</v>
      </c>
      <c r="B9" s="48" t="s">
        <v>11</v>
      </c>
      <c r="C9" s="48">
        <v>2023</v>
      </c>
      <c r="D9" s="48">
        <v>200.82</v>
      </c>
      <c r="E9" s="48">
        <v>84.52</v>
      </c>
      <c r="F9" s="48" t="s">
        <v>244</v>
      </c>
      <c r="G9" s="48">
        <v>65.27</v>
      </c>
      <c r="H9" s="48">
        <v>54.94</v>
      </c>
      <c r="I9" s="44">
        <v>0.54800000000000004</v>
      </c>
      <c r="J9" s="44">
        <v>0.32500000000000001</v>
      </c>
      <c r="K9" s="48">
        <v>83.6</v>
      </c>
      <c r="L9" s="46">
        <v>1.28</v>
      </c>
      <c r="M9" s="46">
        <v>9.8000000000000007</v>
      </c>
      <c r="N9" s="46">
        <v>1.9</v>
      </c>
      <c r="O9" s="48">
        <v>30</v>
      </c>
      <c r="P9" s="48" t="s">
        <v>15</v>
      </c>
    </row>
    <row r="10" spans="1:16" x14ac:dyDescent="0.25">
      <c r="A10" s="50" t="s">
        <v>20</v>
      </c>
      <c r="B10" s="48" t="s">
        <v>241</v>
      </c>
      <c r="C10" s="48">
        <v>2021</v>
      </c>
      <c r="D10" s="51">
        <v>1223.68</v>
      </c>
      <c r="E10" s="48">
        <v>57.25</v>
      </c>
      <c r="F10" s="49"/>
      <c r="G10" s="48">
        <v>29.13</v>
      </c>
      <c r="H10" s="48">
        <v>62.07</v>
      </c>
      <c r="I10" s="44">
        <v>0.629</v>
      </c>
      <c r="J10" s="44">
        <v>2.4E-2</v>
      </c>
      <c r="K10" s="48">
        <v>14.3</v>
      </c>
      <c r="L10" s="46">
        <v>0.49</v>
      </c>
      <c r="M10" s="46">
        <v>2.46</v>
      </c>
      <c r="N10" s="46">
        <v>12.1</v>
      </c>
      <c r="O10" s="48">
        <v>5</v>
      </c>
      <c r="P10" s="48" t="s">
        <v>25</v>
      </c>
    </row>
    <row r="11" spans="1:16" x14ac:dyDescent="0.25">
      <c r="A11" s="50" t="s">
        <v>20</v>
      </c>
      <c r="B11" s="48" t="s">
        <v>241</v>
      </c>
      <c r="C11" s="48">
        <v>2022</v>
      </c>
      <c r="D11" s="51">
        <v>2541.73</v>
      </c>
      <c r="E11" s="48">
        <v>178.13</v>
      </c>
      <c r="F11" s="49"/>
      <c r="G11" s="48">
        <v>95.72</v>
      </c>
      <c r="H11" s="48">
        <v>194.35</v>
      </c>
      <c r="I11" s="44">
        <v>1.7509999999999999</v>
      </c>
      <c r="J11" s="44">
        <v>3.7999999999999999E-2</v>
      </c>
      <c r="K11" s="48">
        <v>-28.7</v>
      </c>
      <c r="L11" s="46">
        <v>-0.3</v>
      </c>
      <c r="M11" s="46">
        <v>3.95</v>
      </c>
      <c r="N11" s="46">
        <v>35.299999999999997</v>
      </c>
      <c r="O11" s="48">
        <v>10</v>
      </c>
      <c r="P11" s="48" t="s">
        <v>25</v>
      </c>
    </row>
    <row r="12" spans="1:16" x14ac:dyDescent="0.25">
      <c r="A12" s="50" t="s">
        <v>20</v>
      </c>
      <c r="B12" s="48" t="s">
        <v>241</v>
      </c>
      <c r="C12" s="48">
        <v>2023</v>
      </c>
      <c r="D12" s="51">
        <v>3540</v>
      </c>
      <c r="E12" s="48">
        <v>90</v>
      </c>
      <c r="F12" s="49"/>
      <c r="G12" s="48">
        <v>9.82</v>
      </c>
      <c r="H12" s="48">
        <v>19.850000000000001</v>
      </c>
      <c r="I12" s="44">
        <v>0.21199999999999999</v>
      </c>
      <c r="J12" s="44">
        <v>3.0000000000000001E-3</v>
      </c>
      <c r="K12" s="48">
        <v>-42.1</v>
      </c>
      <c r="L12" s="46">
        <v>-4.29</v>
      </c>
      <c r="M12" s="46">
        <v>6.24</v>
      </c>
      <c r="N12" s="46">
        <v>0.47</v>
      </c>
      <c r="O12" s="48">
        <v>7.5</v>
      </c>
      <c r="P12" s="48" t="s">
        <v>25</v>
      </c>
    </row>
    <row r="13" spans="1:16" x14ac:dyDescent="0.25">
      <c r="A13" s="50" t="s">
        <v>26</v>
      </c>
      <c r="B13" s="48" t="s">
        <v>241</v>
      </c>
      <c r="C13" s="48">
        <v>2021</v>
      </c>
      <c r="D13" s="48">
        <v>149.28</v>
      </c>
      <c r="E13" s="48">
        <v>135.08000000000001</v>
      </c>
      <c r="F13" s="49"/>
      <c r="G13" s="48">
        <v>17.399999999999999</v>
      </c>
      <c r="H13" s="48">
        <v>4.95</v>
      </c>
      <c r="I13" s="44">
        <v>0.17899999999999999</v>
      </c>
      <c r="J13" s="44">
        <v>0.11700000000000001</v>
      </c>
      <c r="K13" s="48">
        <v>53.4</v>
      </c>
      <c r="L13" s="46">
        <v>3.07</v>
      </c>
      <c r="M13" s="46">
        <v>7.0000000000000007E-2</v>
      </c>
      <c r="N13" s="46">
        <v>20.100000000000001</v>
      </c>
      <c r="O13" s="48">
        <v>3.5</v>
      </c>
      <c r="P13" s="48" t="s">
        <v>15</v>
      </c>
    </row>
    <row r="14" spans="1:16" x14ac:dyDescent="0.25">
      <c r="A14" s="50" t="s">
        <v>26</v>
      </c>
      <c r="B14" s="48" t="s">
        <v>241</v>
      </c>
      <c r="C14" s="48">
        <v>2022</v>
      </c>
      <c r="D14" s="48">
        <v>203.81</v>
      </c>
      <c r="E14" s="48">
        <v>163.11000000000001</v>
      </c>
      <c r="F14" s="49"/>
      <c r="G14" s="48">
        <v>54.35</v>
      </c>
      <c r="H14" s="48">
        <v>19.190000000000001</v>
      </c>
      <c r="I14" s="44">
        <v>0.49</v>
      </c>
      <c r="J14" s="44">
        <v>0.26700000000000002</v>
      </c>
      <c r="K14" s="48">
        <v>33.4</v>
      </c>
      <c r="L14" s="46">
        <v>0.61</v>
      </c>
      <c r="M14" s="46">
        <v>7.0000000000000007E-2</v>
      </c>
      <c r="N14" s="46">
        <v>20.399999999999999</v>
      </c>
      <c r="O14" s="48">
        <v>5.5</v>
      </c>
      <c r="P14" s="48" t="s">
        <v>15</v>
      </c>
    </row>
    <row r="15" spans="1:16" x14ac:dyDescent="0.25">
      <c r="A15" s="50" t="s">
        <v>26</v>
      </c>
      <c r="B15" s="48" t="s">
        <v>241</v>
      </c>
      <c r="C15" s="48">
        <v>2023</v>
      </c>
      <c r="D15" s="48">
        <v>288.05</v>
      </c>
      <c r="E15" s="48">
        <v>191.89</v>
      </c>
      <c r="F15" s="49"/>
      <c r="G15" s="48">
        <v>97.22</v>
      </c>
      <c r="H15" s="48">
        <v>35.72</v>
      </c>
      <c r="I15" s="44">
        <v>0.76500000000000001</v>
      </c>
      <c r="J15" s="44">
        <v>0.33700000000000002</v>
      </c>
      <c r="K15" s="48">
        <v>11.9</v>
      </c>
      <c r="L15" s="46">
        <v>0.12</v>
      </c>
      <c r="M15" s="46">
        <v>0.08</v>
      </c>
      <c r="N15" s="46">
        <v>56.9</v>
      </c>
      <c r="O15" s="48">
        <v>1.5</v>
      </c>
      <c r="P15" s="48" t="s">
        <v>15</v>
      </c>
    </row>
    <row r="16" spans="1:16" x14ac:dyDescent="0.25">
      <c r="A16" s="50" t="s">
        <v>31</v>
      </c>
      <c r="B16" s="48" t="s">
        <v>32</v>
      </c>
      <c r="C16" s="48">
        <v>2021</v>
      </c>
      <c r="D16" s="48">
        <v>67.400000000000006</v>
      </c>
      <c r="E16" s="48">
        <v>20.5</v>
      </c>
      <c r="F16" s="49"/>
      <c r="G16" s="48">
        <v>6.45</v>
      </c>
      <c r="H16" s="48">
        <v>142.30000000000001</v>
      </c>
      <c r="I16" s="44">
        <v>0.59399999999999997</v>
      </c>
      <c r="J16" s="44">
        <v>9.6000000000000002E-2</v>
      </c>
      <c r="K16" s="48">
        <v>9.8000000000000007</v>
      </c>
      <c r="L16" s="46">
        <v>1.52</v>
      </c>
      <c r="M16" s="46">
        <v>0.82</v>
      </c>
      <c r="N16" s="46">
        <v>7.9</v>
      </c>
      <c r="O16" s="48">
        <v>325</v>
      </c>
      <c r="P16" s="48" t="s">
        <v>36</v>
      </c>
    </row>
    <row r="17" spans="1:16" x14ac:dyDescent="0.25">
      <c r="A17" s="50" t="s">
        <v>31</v>
      </c>
      <c r="B17" s="48" t="s">
        <v>32</v>
      </c>
      <c r="C17" s="48">
        <v>2022</v>
      </c>
      <c r="D17" s="48">
        <v>162</v>
      </c>
      <c r="E17" s="48">
        <v>49.35</v>
      </c>
      <c r="F17" s="49"/>
      <c r="G17" s="48">
        <v>15</v>
      </c>
      <c r="H17" s="48">
        <v>331.86</v>
      </c>
      <c r="I17" s="44">
        <v>1.1319999999999999</v>
      </c>
      <c r="J17" s="44">
        <v>9.2999999999999999E-2</v>
      </c>
      <c r="K17" s="48">
        <v>8.4</v>
      </c>
      <c r="L17" s="46">
        <v>0.56000000000000005</v>
      </c>
      <c r="M17" s="46">
        <v>1.08</v>
      </c>
      <c r="N17" s="46">
        <v>5.7</v>
      </c>
      <c r="O17" s="48">
        <v>275</v>
      </c>
      <c r="P17" s="48" t="s">
        <v>36</v>
      </c>
    </row>
    <row r="18" spans="1:16" x14ac:dyDescent="0.25">
      <c r="A18" s="50" t="s">
        <v>31</v>
      </c>
      <c r="B18" s="48" t="s">
        <v>32</v>
      </c>
      <c r="C18" s="48">
        <v>2023</v>
      </c>
      <c r="D18" s="48">
        <v>200.6</v>
      </c>
      <c r="E18" s="48">
        <v>71.099999999999994</v>
      </c>
      <c r="F18" s="49"/>
      <c r="G18" s="48">
        <v>16.5</v>
      </c>
      <c r="H18" s="48">
        <v>363.68</v>
      </c>
      <c r="I18" s="44">
        <v>0.97899999999999998</v>
      </c>
      <c r="J18" s="44">
        <v>8.2000000000000003E-2</v>
      </c>
      <c r="K18" s="48">
        <v>7.1</v>
      </c>
      <c r="L18" s="46">
        <v>0.43</v>
      </c>
      <c r="M18" s="46">
        <v>0.82</v>
      </c>
      <c r="N18" s="46">
        <v>6.2</v>
      </c>
      <c r="O18" s="48">
        <v>193</v>
      </c>
      <c r="P18" s="48" t="s">
        <v>36</v>
      </c>
    </row>
    <row r="19" spans="1:16" x14ac:dyDescent="0.25">
      <c r="A19" s="50" t="s">
        <v>242</v>
      </c>
      <c r="B19" s="48" t="s">
        <v>32</v>
      </c>
      <c r="C19" s="48">
        <v>2021</v>
      </c>
      <c r="D19" s="48">
        <v>22.8</v>
      </c>
      <c r="E19" s="48">
        <v>10.28</v>
      </c>
      <c r="F19" s="49"/>
      <c r="G19" s="48">
        <v>4.8</v>
      </c>
      <c r="H19" s="48">
        <v>620</v>
      </c>
      <c r="I19" s="44">
        <v>1.6759999999999999</v>
      </c>
      <c r="J19" s="44">
        <v>0.21099999999999999</v>
      </c>
      <c r="K19" s="48">
        <v>3.8</v>
      </c>
      <c r="L19" s="46">
        <v>0.79</v>
      </c>
      <c r="M19" s="46">
        <v>2.21</v>
      </c>
      <c r="N19" s="46">
        <v>49.1</v>
      </c>
      <c r="O19" s="48">
        <v>620</v>
      </c>
      <c r="P19" s="48" t="s">
        <v>36</v>
      </c>
    </row>
    <row r="20" spans="1:16" x14ac:dyDescent="0.25">
      <c r="A20" s="50" t="s">
        <v>242</v>
      </c>
      <c r="B20" s="48" t="s">
        <v>32</v>
      </c>
      <c r="C20" s="48">
        <v>2022</v>
      </c>
      <c r="D20" s="48">
        <v>28.31</v>
      </c>
      <c r="E20" s="48">
        <v>11.99</v>
      </c>
      <c r="F20" s="49"/>
      <c r="G20" s="48">
        <v>8.3699999999999992</v>
      </c>
      <c r="H20" s="51">
        <v>1248.4100000000001</v>
      </c>
      <c r="I20" s="44">
        <v>2.4159999999999999</v>
      </c>
      <c r="J20" s="44">
        <v>0.29599999999999999</v>
      </c>
      <c r="K20" s="48">
        <v>4.2</v>
      </c>
      <c r="L20" s="46">
        <v>0.5</v>
      </c>
      <c r="M20" s="46">
        <v>3.05</v>
      </c>
      <c r="N20" s="46">
        <v>58.3</v>
      </c>
      <c r="O20" s="48">
        <v>900</v>
      </c>
      <c r="P20" s="48" t="s">
        <v>36</v>
      </c>
    </row>
    <row r="21" spans="1:16" x14ac:dyDescent="0.25">
      <c r="A21" s="50" t="s">
        <v>242</v>
      </c>
      <c r="B21" s="48" t="s">
        <v>32</v>
      </c>
      <c r="C21" s="48">
        <v>2023</v>
      </c>
      <c r="D21" s="48">
        <v>34.590000000000003</v>
      </c>
      <c r="E21" s="48">
        <v>14.81</v>
      </c>
      <c r="F21" s="49"/>
      <c r="G21" s="48">
        <v>9.74</v>
      </c>
      <c r="H21" s="51">
        <v>1529.68</v>
      </c>
      <c r="I21" s="44">
        <v>2.2850000000000001</v>
      </c>
      <c r="J21" s="44">
        <v>0.28199999999999997</v>
      </c>
      <c r="K21" s="48">
        <v>5.8</v>
      </c>
      <c r="L21" s="46">
        <v>0.6</v>
      </c>
      <c r="M21" s="46">
        <v>3.41</v>
      </c>
      <c r="N21" s="46">
        <v>86.5</v>
      </c>
      <c r="O21" s="48">
        <v>429</v>
      </c>
      <c r="P21" s="48" t="s">
        <v>36</v>
      </c>
    </row>
  </sheetData>
  <conditionalFormatting sqref="P3:P1048576">
    <cfRule type="cellIs" dxfId="20" priority="1" operator="equal">
      <formula>"HOLD"</formula>
    </cfRule>
    <cfRule type="cellIs" dxfId="19" priority="2" operator="equal">
      <formula>"AVOID"</formula>
    </cfRule>
    <cfRule type="cellIs" dxfId="18" priority="3" operator="equal">
      <formula>"BUY"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Income Statement</vt:lpstr>
      <vt:lpstr>Cash Flow Analysis</vt:lpstr>
      <vt:lpstr>Equity and Dividends</vt:lpstr>
      <vt:lpstr>Debt and Liabilities</vt:lpstr>
      <vt:lpstr>Economic Indicators</vt:lpstr>
      <vt:lpstr>Sector Comparision</vt:lpstr>
      <vt:lpstr>FactFinancials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M.ABDULLAH TARIQ</cp:lastModifiedBy>
  <dcterms:created xsi:type="dcterms:W3CDTF">2026-05-03T03:44:13Z</dcterms:created>
  <dcterms:modified xsi:type="dcterms:W3CDTF">2026-07-14T07:50:58Z</dcterms:modified>
</cp:coreProperties>
</file>